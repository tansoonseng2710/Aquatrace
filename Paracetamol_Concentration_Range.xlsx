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hresholds" sheetId="2" state="visible" r:id="rId4"/>
    <sheet name="Measured_Levels" sheetId="3" state="visible" r:id="rId5"/>
    <sheet name="Risk_Calculator" sheetId="4" state="visible" r:id="rId6"/>
    <sheet name="Website_Check" sheetId="5" state="visible" r:id="rId7"/>
    <sheet name="Lab_Design" sheetId="6" state="visible" r:id="rId8"/>
    <sheet name="Results_Log" sheetId="7" state="visible" r:id="rId9"/>
    <sheet name="Instrument_Limits" sheetId="8" state="visible" r:id="rId10"/>
    <sheet name="Sources" sheetId="9" state="visible" r:id="rId11"/>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Choose: Albarano 2025 (newest, 10 µg/L), NORMAN (46 µg/L) or Shipingana 2022 (12.9 µg/L). Every risk band in this workbook updates.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Check the purity on the bottle or certificate of analysis. Use analytical-grade paracetamol (98% or more) for standards; Panadol tablets contain fillers and are only good for a practice run.</t>
        </r>
      </text>
    </comment>
    <comment ref="B15" authorId="0">
      <text>
        <r>
          <rPr>
            <sz val="10"/>
            <rFont val="Arial"/>
            <family val="2"/>
          </rPr>
          <t xml:space="preserve">50 mL so the pH and conductivity probes can be fully immersed, with enough left for a UV cuvette (about 3 mL) and an HPLC vial (at least 0.5 mL). Lower it if your probes need less.</t>
        </r>
      </text>
    </comment>
  </commentList>
</comments>
</file>

<file path=xl/sharedStrings.xml><?xml version="1.0" encoding="utf-8"?>
<sst xmlns="http://schemas.openxmlformats.org/spreadsheetml/2006/main" count="480" uniqueCount="361">
  <si>
    <t xml:space="preserve">Paracetamol in water: how much is good vs bad?</t>
  </si>
  <si>
    <t xml:space="preserve">AquaTrace (KL Ocean Hackathon) · prepared 8 Oct 2026 · values in µg/L unless stated · 1 mg/L = 1,000 µg/L = 1,000,000 ng/L</t>
  </si>
  <si>
    <t xml:space="preserve">KEY SETTING</t>
  </si>
  <si>
    <t xml:space="preserve">PNEC used for risk (choose from the list)</t>
  </si>
  <si>
    <t xml:space="preserve">Albarano 2025</t>
  </si>
  <si>
    <t xml:space="preserve">PNEC value (µg/L)</t>
  </si>
  <si>
    <t xml:space="preserve">PNEC = predicted no-effect concentration: below it, aquatic life should be safe.</t>
  </si>
  <si>
    <t xml:space="preserve">Human drinking-water limit (µg/L)</t>
  </si>
  <si>
    <t xml:space="preserve">Australian Guidelines for Water Recycling 2008 (human health, drinking water).</t>
  </si>
  <si>
    <t xml:space="preserve">RISK BANDS  (RQ = concentration ÷ PNEC; same rule as the AquaTrace website)</t>
  </si>
  <si>
    <t xml:space="preserve">Band</t>
  </si>
  <si>
    <t xml:space="preserve">RQ range</t>
  </si>
  <si>
    <t xml:space="preserve">From (µg/L)</t>
  </si>
  <si>
    <t xml:space="preserve">To (µg/L)</t>
  </si>
  <si>
    <t xml:space="preserve">From (mg/L)</t>
  </si>
  <si>
    <t xml:space="preserve">To (mg/L)</t>
  </si>
  <si>
    <t xml:space="preserve">What it means</t>
  </si>
  <si>
    <t xml:space="preserve">Low</t>
  </si>
  <si>
    <t xml:space="preserve">RQ &lt; 0.1</t>
  </si>
  <si>
    <t xml:space="preserve">Normal river water</t>
  </si>
  <si>
    <t xml:space="preserve">Medium</t>
  </si>
  <si>
    <t xml:space="preserve">0.1 ≤ RQ &lt; 1</t>
  </si>
  <si>
    <t xml:space="preserve">Sewage-impacted water: keep watching</t>
  </si>
  <si>
    <t xml:space="preserve">High</t>
  </si>
  <si>
    <t xml:space="preserve">RQ ≥ 1</t>
  </si>
  <si>
    <t xml:space="preserve">and above</t>
  </si>
  <si>
    <t xml:space="preserve">Risk to aquatic life: confirm by HPLC and find the source</t>
  </si>
  <si>
    <t xml:space="preserve">ONE-LINE ANSWER</t>
  </si>
  <si>
    <t xml:space="preserve">Paracetamol has never been measured in Penang (the 4 USM theses measured atenolol, carbamazepine, diclofenac and ketoprofen only). The team's CenFac HPLC results will be the first Penang data.</t>
  </si>
  <si>
    <t xml:space="preserve">CONCENTRATION LADDER  (µg/L, log scale in the chart)</t>
  </si>
  <si>
    <t xml:space="preserve">Level</t>
  </si>
  <si>
    <t xml:space="preserve">µg/L</t>
  </si>
  <si>
    <t xml:space="preserve">Type</t>
  </si>
  <si>
    <t xml:space="preserve">US rivers: median detection</t>
  </si>
  <si>
    <t xml:space="preserve">Measured</t>
  </si>
  <si>
    <t xml:space="preserve">Langat River (Malaysia): max</t>
  </si>
  <si>
    <t xml:space="preserve">US rivers: 99th percentile</t>
  </si>
  <si>
    <t xml:space="preserve">PNEC (chosen above)</t>
  </si>
  <si>
    <t xml:space="preserve">Threshold</t>
  </si>
  <si>
    <t xml:space="preserve">Hospital WWTP influent max (Saudi)</t>
  </si>
  <si>
    <t xml:space="preserve">NORMAN PNEC</t>
  </si>
  <si>
    <t xml:space="preserve">HC5: 5% of species affected</t>
  </si>
  <si>
    <t xml:space="preserve">Website screening level (current)</t>
  </si>
  <si>
    <t xml:space="preserve">Website</t>
  </si>
  <si>
    <t xml:space="preserve">Drinking-water limit (AGWR 2008)</t>
  </si>
  <si>
    <t xml:space="preserve">Municipal WWTP influent (India)</t>
  </si>
  <si>
    <t xml:space="preserve">Daphnia acute LC50 (48 h)</t>
  </si>
  <si>
    <t xml:space="preserve">HOW TO USE THIS WORKBOOK</t>
  </si>
  <si>
    <t xml:space="preserve">Blue text</t>
  </si>
  <si>
    <t xml:space="preserve">An input you can change.</t>
  </si>
  <si>
    <t xml:space="preserve">Yellow fill</t>
  </si>
  <si>
    <t xml:space="preserve">The key setting (PNEC choice).</t>
  </si>
  <si>
    <t xml:space="preserve">Black text</t>
  </si>
  <si>
    <t xml:space="preserve">Calculated by a formula. Do not type over it.</t>
  </si>
  <si>
    <t xml:space="preserve">Thresholds</t>
  </si>
  <si>
    <t xml:space="preserve">Safe limits for aquatic life and drinking water, with sources.</t>
  </si>
  <si>
    <t xml:space="preserve">Measured_Levels</t>
  </si>
  <si>
    <t xml:space="preserve">Real measured concentrations (rivers, wastewater, hospital).</t>
  </si>
  <si>
    <t xml:space="preserve">Risk_Calculator</t>
  </si>
  <si>
    <t xml:space="preserve">Type any concentration and unit → µg/L, RQ and risk band.</t>
  </si>
  <si>
    <t xml:space="preserve">Website_Check</t>
  </si>
  <si>
    <t xml:space="preserve">Phi's website values for paracetamol vs the literature.</t>
  </si>
  <si>
    <t xml:space="preserve">Lab_Design</t>
  </si>
  <si>
    <t xml:space="preserve">CenFac standards: concentrations, which instrument, dilution volumes.</t>
  </si>
  <si>
    <t xml:space="preserve">Results_Log</t>
  </si>
  <si>
    <t xml:space="preserve">Record pH, conductivity, UV and HPLC results per standard.</t>
  </si>
  <si>
    <t xml:space="preserve">Instrument_Limits</t>
  </si>
  <si>
    <t xml:space="preserve">What UV-Vis and HPLC-UV can detect.</t>
  </si>
  <si>
    <t xml:space="preserve">Sources</t>
  </si>
  <si>
    <t xml:space="preserve">Every reference with its link.</t>
  </si>
  <si>
    <t xml:space="preserve">Thresholds: how much paracetamol is too much?</t>
  </si>
  <si>
    <t xml:space="preserve">Aquatic-life limits (PNEC, HC5) are much stricter than human drinking-water limits. Values differ because studies use different species, endpoints and safety factors.</t>
  </si>
  <si>
    <t xml:space="preserve">#</t>
  </si>
  <si>
    <t xml:space="preserve">Short name</t>
  </si>
  <si>
    <t xml:space="preserve">Value</t>
  </si>
  <si>
    <t xml:space="preserve">Unit</t>
  </si>
  <si>
    <t xml:space="preserve">Value (µg/L)</t>
  </si>
  <si>
    <t xml:space="preserve">Protects</t>
  </si>
  <si>
    <t xml:space="preserve">Basis</t>
  </si>
  <si>
    <t xml:space="preserve">Source</t>
  </si>
  <si>
    <t xml:space="preserve">Link</t>
  </si>
  <si>
    <t xml:space="preserve">PNEC, aquatic life (newest)</t>
  </si>
  <si>
    <t xml:space="preserve">mg/L</t>
  </si>
  <si>
    <t xml:space="preserve">Aquatic life (long-term)</t>
  </si>
  <si>
    <t xml:space="preserve">Species sensitivity distribution, 55 aquatic species (EC10), global occurrence data</t>
  </si>
  <si>
    <t xml:space="preserve">Albarano et al. 2025, Journal of Hazardous Materials, doi 10.1016/j.jhazmat.2025.140107</t>
  </si>
  <si>
    <t xml:space="preserve">https://www.iris.unisa.it/handle/11386/4949119</t>
  </si>
  <si>
    <t xml:space="preserve">Albarano 2025 HC5</t>
  </si>
  <si>
    <t xml:space="preserve">HC5: concentration harming 5% of species</t>
  </si>
  <si>
    <t xml:space="preserve">Aquatic life</t>
  </si>
  <si>
    <t xml:space="preserve">Same species sensitivity distribution</t>
  </si>
  <si>
    <t xml:space="preserve">Albarano et al. 2025</t>
  </si>
  <si>
    <t xml:space="preserve">NORMAN</t>
  </si>
  <si>
    <t xml:space="preserve">PNEC, lowest long-term freshwater</t>
  </si>
  <si>
    <t xml:space="preserve">NORMAN ecotoxicology database</t>
  </si>
  <si>
    <t xml:space="preserve">Environmental Sciences Europe 2024, Table 4 (NORMAN PNECs)</t>
  </si>
  <si>
    <t xml:space="preserve">https://enveurope.springeropen.com/articles/10.1186/s12302-024-01015-3/tables/4</t>
  </si>
  <si>
    <t xml:space="preserve">Shipingana 2022</t>
  </si>
  <si>
    <t xml:space="preserve">PNEC used in a WWTP risk study</t>
  </si>
  <si>
    <t xml:space="preserve">Based on Daphnia magna sensitivity</t>
  </si>
  <si>
    <t xml:space="preserve">Shipingana et al. 2022, Applied Water Science</t>
  </si>
  <si>
    <t xml:space="preserve">https://link.springer.com/article/10.1007/s13201-022-01570-1</t>
  </si>
  <si>
    <t xml:space="preserve">Fan 2022</t>
  </si>
  <si>
    <t xml:space="preserve">Chronic HC5 (older estimate)</t>
  </si>
  <si>
    <t xml:space="preserve">Species sensitivity distribution, 9 chronic datasets (shows how much estimates vary)</t>
  </si>
  <si>
    <t xml:space="preserve">Fan et al. 2022, PNECs for 35 PPCPs in freshwater</t>
  </si>
  <si>
    <t xml:space="preserve">https://www.frontiersin.org/journals/marine-science/articles/10.3389/fmars.2022.1043792/pdf</t>
  </si>
  <si>
    <t xml:space="preserve">Kim 2006</t>
  </si>
  <si>
    <t xml:space="preserve">Acute LC50, Daphnia magna, 48 h</t>
  </si>
  <si>
    <t xml:space="preserve">Acute lethality (short-term)</t>
  </si>
  <si>
    <t xml:space="preserve">Half of the test animals die in 48 h</t>
  </si>
  <si>
    <t xml:space="preserve">Kim 2006, Journal of Environmental Health Sciences (Korea)</t>
  </si>
  <si>
    <t xml:space="preserve">https://www.koreascience.or.kr/article/JAKO200604623620474.page?lang=en</t>
  </si>
  <si>
    <t xml:space="preserve">AGWR 2008</t>
  </si>
  <si>
    <t xml:space="preserve">Drinking-water guideline</t>
  </si>
  <si>
    <t xml:space="preserve">Human health</t>
  </si>
  <si>
    <t xml:space="preserve">Australian Guidelines for Water Recycling 2008 (augmentation of drinking water)</t>
  </si>
  <si>
    <t xml:space="preserve">EPA Victoria 2023, Appendix A, Table 12</t>
  </si>
  <si>
    <t xml:space="preserve">https://app.production.epa-vic-gov-au.sdp3.sdp.vic.gov.au/sites/default/files/epa/publications/appendix_a_emerging-contaminants-in-recycled-water_31may2023.pdf</t>
  </si>
  <si>
    <t xml:space="preserve">Minnesota 2015</t>
  </si>
  <si>
    <t xml:space="preserve">Drinking-water guidance</t>
  </si>
  <si>
    <t xml:space="preserve">Health-based value, all exposure durations</t>
  </si>
  <si>
    <t xml:space="preserve">Minnesota Department of Health, 2015</t>
  </si>
  <si>
    <t xml:space="preserve">https://www.health.mn.gov/communities/environment/risk/docs/guidance/dwec/sumacetamin.pdf</t>
  </si>
  <si>
    <t xml:space="preserve">Why use 10 µg/L? It is the newest estimate (2025) and the most protective. Report 46 µg/L (NORMAN) as the alternative. Change the choice on the Summary sheet.</t>
  </si>
  <si>
    <t xml:space="preserve">Measured paracetamol levels: where does real water fall?</t>
  </si>
  <si>
    <t xml:space="preserve">RQ and risk band use the PNEC chosen on the Summary sheet. Blank value = not detected or not measured.</t>
  </si>
  <si>
    <t xml:space="preserve">Water type</t>
  </si>
  <si>
    <t xml:space="preserve">Place</t>
  </si>
  <si>
    <t xml:space="preserve">Statistic</t>
  </si>
  <si>
    <t xml:space="preserve">RQ (vs chosen PNEC)</t>
  </si>
  <si>
    <t xml:space="preserve">Risk band</t>
  </si>
  <si>
    <t xml:space="preserve">Above drinking-water limit?</t>
  </si>
  <si>
    <t xml:space="preserve">Note</t>
  </si>
  <si>
    <t xml:space="preserve">River</t>
  </si>
  <si>
    <t xml:space="preserve">USA, 15,854 river site-days (detected in 6%)</t>
  </si>
  <si>
    <t xml:space="preserve">Median of detections</t>
  </si>
  <si>
    <t xml:space="preserve">ng/L</t>
  </si>
  <si>
    <t xml:space="preserve">AquaTrace analysis of US Water Quality Portal data (wqp_paired_streams.csv)</t>
  </si>
  <si>
    <t xml:space="preserve">https://www.waterqualitydata.us/</t>
  </si>
  <si>
    <t xml:space="preserve">Used as the "typical river" level</t>
  </si>
  <si>
    <t xml:space="preserve">USA</t>
  </si>
  <si>
    <t xml:space="preserve">90th percentile of detections</t>
  </si>
  <si>
    <t xml:space="preserve">99th percentile of detections</t>
  </si>
  <si>
    <t xml:space="preserve">Maximum</t>
  </si>
  <si>
    <t xml:space="preserve">Only 1 of 872 detections above 46 µg/L</t>
  </si>
  <si>
    <t xml:space="preserve">Langat River, Selangor, Malaysia</t>
  </si>
  <si>
    <t xml:space="preserve">Al-Odaini et al. 2013, Int. J. Environmental Analytical Chemistry</t>
  </si>
  <si>
    <t xml:space="preserve">https://www.ingentaconnect.com/content/tandf/geac/2013/00000093/00000003/art00001</t>
  </si>
  <si>
    <t xml:space="preserve">Closest Malaysian river data</t>
  </si>
  <si>
    <t xml:space="preserve">Kyongahn River, Korea</t>
  </si>
  <si>
    <t xml:space="preserve">Kim 2006, J. Environmental Health Sciences</t>
  </si>
  <si>
    <t xml:space="preserve">Hospital WWTP influent</t>
  </si>
  <si>
    <t xml:space="preserve">Saudi Arabia (hospital treatment plants)</t>
  </si>
  <si>
    <t xml:space="preserve">Al Qarni et al. 2016, Environmental Science and Pollution Research</t>
  </si>
  <si>
    <t xml:space="preserve">https://link.springer.com/article/10.1007/s11356-016-6389-7</t>
  </si>
  <si>
    <t xml:space="preserve">Hospital WWTP effluent</t>
  </si>
  <si>
    <t xml:space="preserve">Saudi Arabia</t>
  </si>
  <si>
    <t xml:space="preserve">After treatment</t>
  </si>
  <si>
    <t xml:space="preserve">Al Qarni et al. 2016</t>
  </si>
  <si>
    <t xml:space="preserve">Negligible: more than 98% removed</t>
  </si>
  <si>
    <t xml:space="preserve">Municipal WWTP influent</t>
  </si>
  <si>
    <t xml:space="preserve">Mysuru, India</t>
  </si>
  <si>
    <t xml:space="preserve">Municipal WWTP effluent</t>
  </si>
  <si>
    <t xml:space="preserve">Shipingana et al. 2022</t>
  </si>
  <si>
    <t xml:space="preserve">Not detected (about 100% removed)</t>
  </si>
  <si>
    <t xml:space="preserve">WWTP influents worldwide</t>
  </si>
  <si>
    <t xml:space="preserve">5 continents</t>
  </si>
  <si>
    <t xml:space="preserve">Lower bound implied by RQ &gt; 800</t>
  </si>
  <si>
    <t xml:space="preserve">Albarano et al. 2025, J. Hazardous Materials</t>
  </si>
  <si>
    <t xml:space="preserve">RQ &gt; 800 with PNEC 10 µg/L means above 8,000 µg/L</t>
  </si>
  <si>
    <t xml:space="preserve">River / estuary</t>
  </si>
  <si>
    <t xml:space="preserve">Penang</t>
  </si>
  <si>
    <t xml:space="preserve">Not measured yet</t>
  </si>
  <si>
    <t xml:space="preserve">thesis-data-findings (USM theses)</t>
  </si>
  <si>
    <t xml:space="preserve">https://repoemc.ukm.my/items/03278d67-ba15-49e1-8dd8-265793d35e3f/full</t>
  </si>
  <si>
    <t xml:space="preserve">First data: our CenFac HPLC. (Link: Praveena 2018, Selangor, also did not measure paracetamol)</t>
  </si>
  <si>
    <t xml:space="preserve">Risk calculator: type a concentration, get the risk</t>
  </si>
  <si>
    <t xml:space="preserve">Fill in the blue columns (Sample, Concentration, Unit). Units: ng/L, µg/L, ug/L or mg/L. Black columns calculate automatically.</t>
  </si>
  <si>
    <t xml:space="preserve">Sample</t>
  </si>
  <si>
    <t xml:space="preserve">Concentration</t>
  </si>
  <si>
    <t xml:space="preserve">RQ</t>
  </si>
  <si>
    <t xml:space="preserve">vs drinking-water limit</t>
  </si>
  <si>
    <t xml:space="preserve">Example: river sample</t>
  </si>
  <si>
    <t xml:space="preserve">Example: CenFac standard S2</t>
  </si>
  <si>
    <t xml:space="preserve">Phi's website: paracetamol (PCM) values vs the literature</t>
  </si>
  <si>
    <t xml:space="preserve">Code: frontend/src/core.js, COMPOUNDS_DEFAULT (PCM entry) and the demo site profiles. Suggested values follow the PNEC chosen on the Summary sheet.</t>
  </si>
  <si>
    <t xml:space="preserve">Website field</t>
  </si>
  <si>
    <t xml:space="preserve">Current value</t>
  </si>
  <si>
    <t xml:space="preserve">Current unit</t>
  </si>
  <si>
    <t xml:space="preserve">Current (µg/L)</t>
  </si>
  <si>
    <t xml:space="preserve">Suggested value</t>
  </si>
  <si>
    <t xml:space="preserve">Suggested unit</t>
  </si>
  <si>
    <t xml:space="preserve">Suggested (µg/L)</t>
  </si>
  <si>
    <t xml:space="preserve">Check</t>
  </si>
  <si>
    <t xml:space="preserve">Verdict</t>
  </si>
  <si>
    <t xml:space="preserve">Why</t>
  </si>
  <si>
    <t xml:space="preserve">Where in code</t>
  </si>
  <si>
    <t xml:space="preserve">Screening level ("level")</t>
  </si>
  <si>
    <t xml:space="preserve">❌ Change</t>
  </si>
  <si>
    <t xml:space="preserve">No source found. 150 µg/L is close to the human drinking-water limits (175–200 µg/L), not the aquatic-life PNEC.</t>
  </si>
  <si>
    <t xml:space="preserve">core.js, PCM: level</t>
  </si>
  <si>
    <t xml:space="preserve">PNEC ("pnec")</t>
  </si>
  <si>
    <t xml:space="preserve">(empty)</t>
  </si>
  <si>
    <t xml:space="preserve">Not set</t>
  </si>
  <si>
    <t xml:space="preserve">⚠️ Fill in</t>
  </si>
  <si>
    <t xml:space="preserve">Without a PNEC the website cannot calculate the risk quotient for paracetamol.</t>
  </si>
  <si>
    <t xml:space="preserve">core.js, PCM: pnec</t>
  </si>
  <si>
    <t xml:space="preserve">Background ("bg")</t>
  </si>
  <si>
    <t xml:space="preserve">Typical river level = US median detection (Measured_Levels row 1).</t>
  </si>
  <si>
    <t xml:space="preserve">core.js, PCM: bg</t>
  </si>
  <si>
    <t xml:space="preserve">Demo site SP1 (hospital drain)</t>
  </si>
  <si>
    <t xml:space="preserve">⚠️ Label as estimate</t>
  </si>
  <si>
    <t xml:space="preserve">Only realistic for raw sewage or a hospital drain (hospital influent max 12.4 µg/L in Saudi Arabia; city influent 4,600 µg/L in India).</t>
  </si>
  <si>
    <t xml:space="preserve">core.js, site profiles: prof.PCM</t>
  </si>
  <si>
    <t xml:space="preserve">Demo site SP2 (Kampung Rawa)</t>
  </si>
  <si>
    <t xml:space="preserve">Unsewered settlement: plausible near the drain, high for the river itself.</t>
  </si>
  <si>
    <t xml:space="preserve">Demo site SP3 (city drains)</t>
  </si>
  <si>
    <t xml:space="preserve">Same as above.</t>
  </si>
  <si>
    <t xml:space="preserve">Demo site Jelutong STP</t>
  </si>
  <si>
    <t xml:space="preserve">❌ Lower</t>
  </si>
  <si>
    <t xml:space="preserve">Treatment removes more than 98% of paracetamol (Saudi and Indian studies), so treated effluent should be far lower than 30 µg/L. 0.1 µg/L is an illustrative placeholder.</t>
  </si>
  <si>
    <t xml:space="preserve">Unit ("unit")</t>
  </si>
  <si>
    <t xml:space="preserve">Other medicines use µg/L</t>
  </si>
  <si>
    <t xml:space="preserve">⚠️ Switch</t>
  </si>
  <si>
    <t xml:space="preserve">One unit for all medicines avoids 1,000× mistakes.</t>
  </si>
  <si>
    <t xml:space="preserve">core.js, PCM: unit</t>
  </si>
  <si>
    <t xml:space="preserve">CenFac experiment: paracetamol standards and dilution plan</t>
  </si>
  <si>
    <t xml:space="preserve">Change the blue inputs; volumes recalculate. Stock A is weighed; B and C are diluted from it so every pipette volume stays above your smallest accurate volume.</t>
  </si>
  <si>
    <t xml:space="preserve">INPUTS</t>
  </si>
  <si>
    <t xml:space="preserve">Stock A concentration (mg/L)</t>
  </si>
  <si>
    <t xml:space="preserve">Stock A volume (mL)</t>
  </si>
  <si>
    <t xml:space="preserve">Paracetamol purity (analytical grade)</t>
  </si>
  <si>
    <t xml:space="preserve">→ Paracetamol to weigh for Stock A (mg)</t>
  </si>
  <si>
    <t xml:space="preserve">Stock B concentration (mg/L)</t>
  </si>
  <si>
    <t xml:space="preserve">Stock B volume (mL)</t>
  </si>
  <si>
    <t xml:space="preserve">→ Stock A needed for Stock B (mL)</t>
  </si>
  <si>
    <t xml:space="preserve">Stock C concentration (mg/L)</t>
  </si>
  <si>
    <t xml:space="preserve">Stock C volume (mL)</t>
  </si>
  <si>
    <t xml:space="preserve">→ Stock B needed for Stock C (mL)</t>
  </si>
  <si>
    <t xml:space="preserve">Final volume of each standard (mL)</t>
  </si>
  <si>
    <t xml:space="preserve">Smallest volume you can pipette accurately (mL)</t>
  </si>
  <si>
    <t xml:space="preserve">Replicates per standard</t>
  </si>
  <si>
    <t xml:space="preserve">Solvent</t>
  </si>
  <si>
    <t xml:space="preserve">Ultrapure (Milli-Q) water</t>
  </si>
  <si>
    <t xml:space="preserve">Standard</t>
  </si>
  <si>
    <t xml:space="preserve">Target (mg/L)</t>
  </si>
  <si>
    <t xml:space="preserve">Target (µg/L)</t>
  </si>
  <si>
    <t xml:space="preserve">Measure with</t>
  </si>
  <si>
    <t xml:space="preserve">What it represents</t>
  </si>
  <si>
    <t xml:space="preserve">Stock to use</t>
  </si>
  <si>
    <t xml:space="preserve">Stock conc. (mg/L)</t>
  </si>
  <si>
    <t xml:space="preserve">Stock volume (mL)</t>
  </si>
  <si>
    <t xml:space="preserve">Solvent to add (mL)</t>
  </si>
  <si>
    <t xml:space="preserve">S0</t>
  </si>
  <si>
    <t xml:space="preserve">All (blank)</t>
  </si>
  <si>
    <t xml:space="preserve">Blank: solvent only, for baseline</t>
  </si>
  <si>
    <t xml:space="preserve">S1</t>
  </si>
  <si>
    <t xml:space="preserve">HPLC</t>
  </si>
  <si>
    <t xml:space="preserve">PNEC (Albarano 2025): the "bad" line for aquatic life</t>
  </si>
  <si>
    <t xml:space="preserve">S2</t>
  </si>
  <si>
    <t xml:space="preserve">S3</t>
  </si>
  <si>
    <t xml:space="preserve">Between HC5 and the drinking-water limit (0.175 mg/L)</t>
  </si>
  <si>
    <t xml:space="preserve">S4</t>
  </si>
  <si>
    <t xml:space="preserve">Raw sewage / hospital drain level</t>
  </si>
  <si>
    <t xml:space="preserve">S5</t>
  </si>
  <si>
    <t xml:space="preserve">HPLC + UV-Vis</t>
  </si>
  <si>
    <t xml:space="preserve">Overlap point 1 (UV-Vis near its LOQ, 0.98 mg/L)</t>
  </si>
  <si>
    <t xml:space="preserve">S6</t>
  </si>
  <si>
    <t xml:space="preserve">UV-Vis</t>
  </si>
  <si>
    <t xml:space="preserve">Start of UV-Vis linear range (2 mg/L)</t>
  </si>
  <si>
    <t xml:space="preserve">S7</t>
  </si>
  <si>
    <t xml:space="preserve">Overlap point 2</t>
  </si>
  <si>
    <t xml:space="preserve">S8</t>
  </si>
  <si>
    <t xml:space="preserve">Overlap point 3; dilute 10× before HPLC if above its calibrated range</t>
  </si>
  <si>
    <t xml:space="preserve">S9</t>
  </si>
  <si>
    <t xml:space="preserve">UV-Vis calibration</t>
  </si>
  <si>
    <t xml:space="preserve">S10</t>
  </si>
  <si>
    <t xml:space="preserve">S11</t>
  </si>
  <si>
    <t xml:space="preserve">End of UV-Vis linear range (24 mg/L)</t>
  </si>
  <si>
    <t xml:space="preserve">Totals</t>
  </si>
  <si>
    <t xml:space="preserve">Standards</t>
  </si>
  <si>
    <t xml:space="preserve">Preparations incl. replicates</t>
  </si>
  <si>
    <t xml:space="preserve">HPLC vials needed (incl. replicates)</t>
  </si>
  <si>
    <t xml:space="preserve">UV-Vis measurements (incl. replicates)</t>
  </si>
  <si>
    <t xml:space="preserve">NOTES</t>
  </si>
  <si>
    <t xml:space="preserve">1. Stock A: weigh the paracetamol (row 8), dissolve in the solvent in a volumetric flask and fill to the mark. Paracetamol dissolves easily in water (about 14 g/L at 25 °C, a textbook value: check the SDS).</t>
  </si>
  <si>
    <t xml:space="preserve">2. Stock B = Stock A diluted (row 11 volume into row 10 flask). Stock C = Stock B diluted (row 14 into row 13). Then make each standard from the stock in column F.</t>
  </si>
  <si>
    <t xml:space="preserve">3. Paracetamol is neutral at pH 7 (pKa about 9.5): in clean standards it barely changes pH or conductivity, so UV is the only sensor expected to respond. Record pH and conductivity anyway (Results_Log).</t>
  </si>
  <si>
    <t xml:space="preserve">4. HPLC: Nguyen et al. (2023) validated 0.01–1 mg/L at 243 nm. Ask CenFac for their calibrated range and LOD; dilute standards above it before injection.</t>
  </si>
  <si>
    <t xml:space="preserve">5. UV-Vis: Sharma et al. (2013) found a linear range of 2–24 mg/L at 246 nm (LOD 0.33 mg/L, LOQ 0.98 mg/L).</t>
  </si>
  <si>
    <t xml:space="preserve">6. The overlap standards (S5, S7, S8) are measured by both instruments: they give the paired UV vs HPLC data for the ML step.</t>
  </si>
  <si>
    <t xml:space="preserve">7. These are suggested levels: confirm the final range with your supervisor and CenFac before ordering.</t>
  </si>
  <si>
    <t xml:space="preserve">Results log: one row per measurement</t>
  </si>
  <si>
    <t xml:space="preserve">Fill in the blue columns after each measurement. Target and recovery calculate automatically. Row 6 is an EXAMPLE with made-up values: delete it before use.</t>
  </si>
  <si>
    <t xml:space="preserve">Date</t>
  </si>
  <si>
    <t xml:space="preserve">Replicate</t>
  </si>
  <si>
    <t xml:space="preserve">pH</t>
  </si>
  <si>
    <t xml:space="preserve">Conductivity (µS/cm)</t>
  </si>
  <si>
    <t xml:space="preserve">Temperature (°C)</t>
  </si>
  <si>
    <t xml:space="preserve">UV absorbance (243 nm)</t>
  </si>
  <si>
    <t xml:space="preserve">HPLC result (mg/L)</t>
  </si>
  <si>
    <t xml:space="preserve">HPLC recovery</t>
  </si>
  <si>
    <t xml:space="preserve">Notes</t>
  </si>
  <si>
    <t xml:space="preserve">2026-10-10</t>
  </si>
  <si>
    <t xml:space="preserve">EXAMPLE ROW (made-up values): delete before use</t>
  </si>
  <si>
    <t xml:space="preserve">What can the instruments see?</t>
  </si>
  <si>
    <t xml:space="preserve">LOD = lowest level detected; LOQ = lowest level measured reliably. Values are for the solution put into the instrument.</t>
  </si>
  <si>
    <t xml:space="preserve">Instrument</t>
  </si>
  <si>
    <t xml:space="preserve">Wavelength (nm)</t>
  </si>
  <si>
    <t xml:space="preserve">Linear from (mg/L)</t>
  </si>
  <si>
    <t xml:space="preserve">Linear to (mg/L)</t>
  </si>
  <si>
    <t xml:space="preserve">LOD (mg/L)</t>
  </si>
  <si>
    <t xml:space="preserve">LOQ (mg/L)</t>
  </si>
  <si>
    <t xml:space="preserve">LOQ (µg/L)</t>
  </si>
  <si>
    <t xml:space="preserve">Can it measure the PNEC?</t>
  </si>
  <si>
    <t xml:space="preserve">Can it measure a typical river level?</t>
  </si>
  <si>
    <t xml:space="preserve">Sample prep</t>
  </si>
  <si>
    <t xml:space="preserve">UV-Vis spectrophotometer</t>
  </si>
  <si>
    <t xml:space="preserve">None (bulk powder and tablets)</t>
  </si>
  <si>
    <t xml:space="preserve">Sharma et al. 2013, Oriental Journal of Chemistry</t>
  </si>
  <si>
    <t xml:space="preserve">https://www.orientjchem.org/?p=11983</t>
  </si>
  <si>
    <t xml:space="preserve">HPLC-UV, C18 column</t>
  </si>
  <si>
    <t xml:space="preserve">Solid-phase extraction (SPE), recovery above 95%</t>
  </si>
  <si>
    <t xml:space="preserve">Nguyen et al. 2023, Vietnam Journal of Science and Technology 61(4)</t>
  </si>
  <si>
    <t xml:space="preserve">https://vjs.ac.vn/jst/article/view/16418</t>
  </si>
  <si>
    <t xml:space="preserve">CenFac HPLC (ask CenFac and fill in)</t>
  </si>
  <si>
    <t xml:space="preserve">CenFac</t>
  </si>
  <si>
    <t xml:space="preserve">SPE CONCENTRATION (for real river samples)</t>
  </si>
  <si>
    <t xml:space="preserve">SPE concentration factor (e.g. 500 mL water → 1 mL extract = 500)</t>
  </si>
  <si>
    <t xml:space="preserve">HPLC-UV LOQ in the river water after SPE (µg/L)</t>
  </si>
  <si>
    <t xml:space="preserve">Can HPLC + SPE then measure a typical river level?</t>
  </si>
  <si>
    <t xml:space="preserve">Take-away: UV-Vis only sees sewage or spill levels (mg/L). HPLC-UV reaches the PNEC directly, and typical river levels only after SPE.</t>
  </si>
  <si>
    <t xml:space="preserve">Reference</t>
  </si>
  <si>
    <t xml:space="preserve">Used for</t>
  </si>
  <si>
    <t xml:space="preserve">Albarano L., Maggio C., Lofrano G., Carotenuto M., Guida M., Vaiano V., Libralato G. (2025). Environmental risk assessment of paracetamol in aquatic ecosystems using species sensitivity distribution and global occurrence data. Journal of Hazardous Materials. doi 10.1016/j.jhazmat.2025.140107</t>
  </si>
  <si>
    <t xml:space="preserve">PNEC 10 µg/L, HC5 50 µg/L, influent RQ &gt; 800</t>
  </si>
  <si>
    <t xml:space="preserve">Environmental Sciences Europe (2024). Is environmental risk assessment possible with the alternatives to acute fish toxicity test? Case study with pharmaceuticals. Table 4 (NORMAN PNECs).</t>
  </si>
  <si>
    <t xml:space="preserve">NORMAN lowest long-term freshwater PNEC 46 µg/L</t>
  </si>
  <si>
    <t xml:space="preserve">Shipingana L.N.N., Shivaraju H.P., Yashas S.R. (2022). Quantitative assessment of pharmaceutical drugs in a municipal wastewater and overview of associated risks. Applied Water Science.</t>
  </si>
  <si>
    <t xml:space="preserve">Mysuru influent 4.6 mg/L, PNEC 12.9 µg/L</t>
  </si>
  <si>
    <t xml:space="preserve">Fan H. et al. (2022). Derivation of predicted no-effect concentrations for thirty-five pharmaceuticals and personal care products in freshwater ecosystem.</t>
  </si>
  <si>
    <t xml:space="preserve">Chronic HC5 1.21 mg/L</t>
  </si>
  <si>
    <t xml:space="preserve">Kim P.-G. (2006). Ecotoxicological risk assessment for acetaminophen in Kyongahn River. Journal of Environmental Health Sciences.</t>
  </si>
  <si>
    <t xml:space="preserve">Daphnia LC50 16.9 mg/L; river 0.439 µg/L</t>
  </si>
  <si>
    <t xml:space="preserve">EPA Victoria (2023). Appendix A: Emerging contaminants in recycled water, Table 12 (Australian Guidelines for Water Recycling 2008).</t>
  </si>
  <si>
    <t xml:space="preserve">Drinking-water guideline 175 µg/L</t>
  </si>
  <si>
    <t xml:space="preserve">Minnesota Department of Health (2015). Toxicological summary for acetaminophen.</t>
  </si>
  <si>
    <t xml:space="preserve">Drinking-water guidance 200 µg/L</t>
  </si>
  <si>
    <t xml:space="preserve">Al-Odaini N.A., Zakaria M.P., Yaziz M.I., Surif S., Abdulghani M. (2013). The occurrence of human pharmaceuticals in wastewater effluents and surface water of Langat River and its tributaries, Malaysia. Int. J. Environmental Analytical Chemistry.</t>
  </si>
  <si>
    <t xml:space="preserve">Langat River max 346.3 ng/L</t>
  </si>
  <si>
    <t xml:space="preserve">Al Qarni H., Collier P., O'Keeffe J., Akunna J. (2016). Investigating the removal of some pharmaceutical compounds in hospital wastewater treatment plants operating in Saudi Arabia. Environmental Science and Pollution Research.</t>
  </si>
  <si>
    <t xml:space="preserve">Hospital influent up to 12.4 µg/L; &gt;98% removal</t>
  </si>
  <si>
    <t xml:space="preserve">US Water Quality Portal (USGS, EPA). AquaTrace analysis of paired river data, 1999–2025 (wqp_paired_streams.csv).</t>
  </si>
  <si>
    <t xml:space="preserve">US river distribution: median 42 ng/L, max 76 µg/L</t>
  </si>
  <si>
    <t xml:space="preserve">Sharma S. et al. (2013). Development and validation of a UV spectroscopic method for analysis of paracetamol in bulk powder and tablet. Oriental Journal of Chemistry.</t>
  </si>
  <si>
    <t xml:space="preserve">UV-Vis 246 nm, linear 2–24 mg/L, LOD 0.33 mg/L</t>
  </si>
  <si>
    <t xml:space="preserve">Nguyen T.D. et al. (2023). Simultaneous determination of paracetamol and diclofenac in wastewater by high-performance liquid chromatography method. Vietnam Journal of Science and Technology 61(4), 599–608.</t>
  </si>
  <si>
    <t xml:space="preserve">HPLC-UV 243 nm, LOQ 0.01 mg/L, SPE</t>
  </si>
  <si>
    <t xml:space="preserve">Praveena S.M. et al. (2018). Pharmaceuticals residues in selected tropical surface water bodies from Selangor (Malaysia). Science of the Total Environment.</t>
  </si>
  <si>
    <t xml:space="preserve">Shows paracetamol was not measured in Selangor</t>
  </si>
</sst>
</file>

<file path=xl/styles.xml><?xml version="1.0" encoding="utf-8"?>
<styleSheet xmlns="http://schemas.openxmlformats.org/spreadsheetml/2006/main">
  <numFmts count="12">
    <numFmt numFmtId="164" formatCode="General"/>
    <numFmt numFmtId="165" formatCode="#,##0.###"/>
    <numFmt numFmtId="166" formatCode="0.######"/>
    <numFmt numFmtId="167" formatCode="0.0000"/>
    <numFmt numFmtId="168" formatCode="0.###"/>
    <numFmt numFmtId="169" formatCode="0%"/>
    <numFmt numFmtId="170" formatCode="0.0"/>
    <numFmt numFmtId="171" formatCode="0.00"/>
    <numFmt numFmtId="172" formatCode="0.000"/>
    <numFmt numFmtId="173" formatCode="General"/>
    <numFmt numFmtId="174" formatCode="0.0%"/>
    <numFmt numFmtId="175" formatCode="0.####"/>
  </numFmts>
  <fonts count="19">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
      <b val="true"/>
      <sz val="10"/>
      <color rgb="FFFFFFFF"/>
      <name val="Arial"/>
      <family val="0"/>
      <charset val="1"/>
    </font>
    <font>
      <b val="true"/>
      <sz val="11"/>
      <color rgb="FF000000"/>
      <name val="Arial"/>
      <family val="0"/>
      <charset val="1"/>
    </font>
    <font>
      <b val="true"/>
      <sz val="10"/>
      <color rgb="FF0000FF"/>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b val="true"/>
      <sz val="13"/>
      <color rgb="FF000000"/>
      <name val="Arial"/>
      <family val="0"/>
      <charset val="1"/>
    </font>
    <font>
      <u val="single"/>
      <sz val="10"/>
      <color rgb="FF0563C1"/>
      <name val="Arial"/>
      <family val="0"/>
      <charset val="1"/>
    </font>
    <font>
      <sz val="10"/>
      <color rgb="FF595959"/>
      <name val="Arial"/>
      <family val="0"/>
      <charset val="1"/>
    </font>
  </fonts>
  <fills count="5">
    <fill>
      <patternFill patternType="none"/>
    </fill>
    <fill>
      <patternFill patternType="gray125"/>
    </fill>
    <fill>
      <patternFill patternType="solid">
        <fgColor rgb="FFDDEBF7"/>
        <bgColor rgb="FFD9D9D9"/>
      </patternFill>
    </fill>
    <fill>
      <patternFill patternType="solid">
        <fgColor rgb="FFFFFF00"/>
        <bgColor rgb="FFFFFF00"/>
      </patternFill>
    </fill>
    <fill>
      <patternFill patternType="solid">
        <fgColor rgb="FF1F4E5A"/>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72" fontId="8" fillId="0"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72" fontId="7" fillId="0" borderId="1" xfId="0" applyFont="true" applyBorder="true" applyAlignment="true" applyProtection="false">
      <alignment horizontal="general" vertical="top" textRotation="0" wrapText="true" indent="0" shrinkToFit="false"/>
      <protection locked="true" hidden="false"/>
    </xf>
    <xf numFmtId="174" fontId="8" fillId="0" borderId="1" xfId="0" applyFont="true" applyBorder="true" applyAlignment="true" applyProtection="false">
      <alignment horizontal="general" vertical="top" textRotation="0" wrapText="true" indent="0" shrinkToFit="false"/>
      <protection locked="true" hidden="false"/>
    </xf>
    <xf numFmtId="17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78787"/>
      <rgbColor rgb="FF9999FF"/>
      <rgbColor rgb="FF993366"/>
      <rgbColor rgb="FFF9F9F9"/>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F81BD"/>
      <rgbColor rgb="FF33CCCC"/>
      <rgbColor rgb="FF99CC00"/>
      <rgbColor rgb="FFFFCC00"/>
      <rgbColor rgb="FFFF9900"/>
      <rgbColor rgb="FFFF6600"/>
      <rgbColor rgb="FF595959"/>
      <rgbColor rgb="FF969696"/>
      <rgbColor rgb="FF003366"/>
      <rgbColor rgb="FF339966"/>
      <rgbColor rgb="FF003300"/>
      <rgbColor rgb="FF333300"/>
      <rgbColor rgb="FF9C57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Paracetamol levels (µg/L, log scale)</a:t>
            </a:r>
          </a:p>
        </c:rich>
      </c:tx>
      <c:overlay val="0"/>
      <c:spPr>
        <a:noFill/>
        <a:ln w="0">
          <a:noFill/>
        </a:ln>
      </c:spPr>
    </c:title>
    <c:autoTitleDeleted val="0"/>
    <c:plotArea>
      <c:barChart>
        <c:barDir val="bar"/>
        <c:grouping val="clustered"/>
        <c:varyColors val="0"/>
        <c:ser>
          <c:idx val="0"/>
          <c:order val="0"/>
          <c:tx>
            <c:strRef>
              <c:f>Summary!B20</c:f>
              <c:strCache>
                <c:ptCount val="1"/>
                <c:pt idx="0">
                  <c:v>µg/L</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Summary!$A$21:$A$31</c:f>
              <c:strCache>
                <c:ptCount val="11"/>
                <c:pt idx="0">
                  <c:v>US rivers: median detection</c:v>
                </c:pt>
                <c:pt idx="1">
                  <c:v>Langat River (Malaysia): max</c:v>
                </c:pt>
                <c:pt idx="2">
                  <c:v>US rivers: 99th percentile</c:v>
                </c:pt>
                <c:pt idx="3">
                  <c:v>PNEC (chosen above)</c:v>
                </c:pt>
                <c:pt idx="4">
                  <c:v>Hospital WWTP influent max (Saudi)</c:v>
                </c:pt>
                <c:pt idx="5">
                  <c:v>NORMAN PNEC</c:v>
                </c:pt>
                <c:pt idx="6">
                  <c:v>HC5: 5% of species affected</c:v>
                </c:pt>
                <c:pt idx="7">
                  <c:v>Website screening level (current)</c:v>
                </c:pt>
                <c:pt idx="8">
                  <c:v>Drinking-water limit (AGWR 2008)</c:v>
                </c:pt>
                <c:pt idx="9">
                  <c:v>Municipal WWTP influent (India)</c:v>
                </c:pt>
                <c:pt idx="10">
                  <c:v>Daphnia acute LC50 (48 h)</c:v>
                </c:pt>
              </c:strCache>
            </c:strRef>
          </c:cat>
          <c:val>
            <c:numRef>
              <c:f>Summary!$B$21:$B$31</c:f>
              <c:numCache>
                <c:formatCode>#,##0.###</c:formatCode>
                <c:ptCount val="11"/>
                <c:pt idx="0">
                  <c:v>0.042</c:v>
                </c:pt>
                <c:pt idx="1">
                  <c:v>0.3463</c:v>
                </c:pt>
                <c:pt idx="2">
                  <c:v>5.258</c:v>
                </c:pt>
                <c:pt idx="3">
                  <c:v>10</c:v>
                </c:pt>
                <c:pt idx="4">
                  <c:v>12.39</c:v>
                </c:pt>
                <c:pt idx="5">
                  <c:v>46</c:v>
                </c:pt>
                <c:pt idx="6">
                  <c:v>50</c:v>
                </c:pt>
                <c:pt idx="7">
                  <c:v>150</c:v>
                </c:pt>
                <c:pt idx="8">
                  <c:v>175</c:v>
                </c:pt>
                <c:pt idx="9">
                  <c:v>4600</c:v>
                </c:pt>
                <c:pt idx="10">
                  <c:v>16900</c:v>
                </c:pt>
              </c:numCache>
            </c:numRef>
          </c:val>
        </c:ser>
        <c:gapWidth val="150"/>
        <c:overlap val="0"/>
        <c:axId val="61832390"/>
        <c:axId val="55581911"/>
      </c:barChart>
      <c:catAx>
        <c:axId val="6183239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581911"/>
        <c:crosses val="autoZero"/>
        <c:auto val="1"/>
        <c:lblAlgn val="ctr"/>
        <c:lblOffset val="100"/>
        <c:noMultiLvlLbl val="0"/>
      </c:catAx>
      <c:valAx>
        <c:axId val="55581911"/>
        <c:scaling>
          <c:logBase val="10"/>
          <c:orientation val="minMax"/>
        </c:scaling>
        <c:delete val="0"/>
        <c:axPos val="l"/>
        <c:title>
          <c:tx>
            <c:rich>
              <a:bodyPr rot="0"/>
              <a:lstStyle/>
              <a:p>
                <a:pPr>
                  <a:defRPr b="1" sz="1000" spc="-1" strike="noStrike">
                    <a:solidFill>
                      <a:srgbClr val="000000"/>
                    </a:solidFill>
                    <a:latin typeface="Calibri"/>
                  </a:defRPr>
                </a:pPr>
                <a:r>
                  <a:rPr b="1" sz="1000" spc="-1" strike="noStrike">
                    <a:solidFill>
                      <a:srgbClr val="000000"/>
                    </a:solidFill>
                    <a:latin typeface="Calibri"/>
                  </a:rPr>
                  <a:t>µg/L</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8323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17</xdr:row>
      <xdr:rowOff>160560</xdr:rowOff>
    </xdr:from>
    <xdr:to>
      <xdr:col>8</xdr:col>
      <xdr:colOff>370440</xdr:colOff>
      <xdr:row>34</xdr:row>
      <xdr:rowOff>161640</xdr:rowOff>
    </xdr:to>
    <xdr:graphicFrame>
      <xdr:nvGraphicFramePr>
        <xdr:cNvPr id="0" name="Chart 1"/>
        <xdr:cNvGraphicFramePr/>
      </xdr:nvGraphicFramePr>
      <xdr:xfrm>
        <a:off x="5779800" y="342900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www.iris.unisa.it/handle/11386/4949119" TargetMode="External"/><Relationship Id="rId2" Type="http://schemas.openxmlformats.org/officeDocument/2006/relationships/hyperlink" Target="https://www.iris.unisa.it/handle/11386/4949119" TargetMode="External"/><Relationship Id="rId3" Type="http://schemas.openxmlformats.org/officeDocument/2006/relationships/hyperlink" Target="https://enveurope.springeropen.com/articles/10.1186/s12302-024-01015-3/tables/4" TargetMode="External"/><Relationship Id="rId4" Type="http://schemas.openxmlformats.org/officeDocument/2006/relationships/hyperlink" Target="https://link.springer.com/article/10.1007/s13201-022-01570-1" TargetMode="External"/><Relationship Id="rId5" Type="http://schemas.openxmlformats.org/officeDocument/2006/relationships/hyperlink" Target="https://www.frontiersin.org/journals/marine-science/articles/10.3389/fmars.2022.1043792/pdf" TargetMode="External"/><Relationship Id="rId6" Type="http://schemas.openxmlformats.org/officeDocument/2006/relationships/hyperlink" Target="https://www.koreascience.or.kr/article/JAKO200604623620474.page?lang=en" TargetMode="External"/><Relationship Id="rId7" Type="http://schemas.openxmlformats.org/officeDocument/2006/relationships/hyperlink" Target="https://app.production.epa-vic-gov-au.sdp3.sdp.vic.gov.au/sites/default/files/epa/publications/appendix_a_emerging-contaminants-in-recycled-water_31may2023.pdf" TargetMode="External"/><Relationship Id="rId8" Type="http://schemas.openxmlformats.org/officeDocument/2006/relationships/hyperlink" Target="https://www.health.mn.gov/communities/environment/risk/docs/guidance/dwec/sumacetamin.pdf"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waterqualitydata.us/" TargetMode="External"/><Relationship Id="rId2" Type="http://schemas.openxmlformats.org/officeDocument/2006/relationships/hyperlink" Target="https://www.waterqualitydata.us/" TargetMode="External"/><Relationship Id="rId3" Type="http://schemas.openxmlformats.org/officeDocument/2006/relationships/hyperlink" Target="https://www.waterqualitydata.us/" TargetMode="External"/><Relationship Id="rId4" Type="http://schemas.openxmlformats.org/officeDocument/2006/relationships/hyperlink" Target="https://www.waterqualitydata.us/" TargetMode="External"/><Relationship Id="rId5" Type="http://schemas.openxmlformats.org/officeDocument/2006/relationships/hyperlink" Target="https://www.ingentaconnect.com/content/tandf/geac/2013/00000093/00000003/art00001" TargetMode="External"/><Relationship Id="rId6" Type="http://schemas.openxmlformats.org/officeDocument/2006/relationships/hyperlink" Target="https://www.koreascience.or.kr/article/JAKO200604623620474.page?lang=en" TargetMode="External"/><Relationship Id="rId7" Type="http://schemas.openxmlformats.org/officeDocument/2006/relationships/hyperlink" Target="https://link.springer.com/article/10.1007/s11356-016-6389-7" TargetMode="External"/><Relationship Id="rId8" Type="http://schemas.openxmlformats.org/officeDocument/2006/relationships/hyperlink" Target="https://link.springer.com/article/10.1007/s11356-016-6389-7" TargetMode="External"/><Relationship Id="rId9" Type="http://schemas.openxmlformats.org/officeDocument/2006/relationships/hyperlink" Target="https://link.springer.com/article/10.1007/s13201-022-01570-1" TargetMode="External"/><Relationship Id="rId10" Type="http://schemas.openxmlformats.org/officeDocument/2006/relationships/hyperlink" Target="https://link.springer.com/article/10.1007/s13201-022-01570-1" TargetMode="External"/><Relationship Id="rId11" Type="http://schemas.openxmlformats.org/officeDocument/2006/relationships/hyperlink" Target="https://www.iris.unisa.it/handle/11386/4949119" TargetMode="External"/><Relationship Id="rId12" Type="http://schemas.openxmlformats.org/officeDocument/2006/relationships/hyperlink" Target="https://repoemc.ukm.my/items/03278d67-ba15-49e1-8dd8-265793d35e3f/full"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hyperlink" Target="https://www.orientjchem.org/?p=11983" TargetMode="External"/><Relationship Id="rId2" Type="http://schemas.openxmlformats.org/officeDocument/2006/relationships/hyperlink" Target="https://vjs.ac.vn/jst/article/view/16418"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iris.unisa.it/handle/11386/4949119" TargetMode="External"/><Relationship Id="rId2" Type="http://schemas.openxmlformats.org/officeDocument/2006/relationships/hyperlink" Target="https://enveurope.springeropen.com/articles/10.1186/s12302-024-01015-3/tables/4" TargetMode="External"/><Relationship Id="rId3" Type="http://schemas.openxmlformats.org/officeDocument/2006/relationships/hyperlink" Target="https://link.springer.com/article/10.1007/s13201-022-01570-1" TargetMode="External"/><Relationship Id="rId4" Type="http://schemas.openxmlformats.org/officeDocument/2006/relationships/hyperlink" Target="https://www.frontiersin.org/journals/marine-science/articles/10.3389/fmars.2022.1043792/pdf" TargetMode="External"/><Relationship Id="rId5" Type="http://schemas.openxmlformats.org/officeDocument/2006/relationships/hyperlink" Target="https://www.koreascience.or.kr/article/JAKO200604623620474.page?lang=en" TargetMode="External"/><Relationship Id="rId6" Type="http://schemas.openxmlformats.org/officeDocument/2006/relationships/hyperlink" Target="https://app.production.epa-vic-gov-au.sdp3.sdp.vic.gov.au/sites/default/files/epa/publications/appendix_a_emerging-contaminants-in-recycled-water_31may2023.pdf" TargetMode="External"/><Relationship Id="rId7" Type="http://schemas.openxmlformats.org/officeDocument/2006/relationships/hyperlink" Target="https://www.health.mn.gov/communities/environment/risk/docs/guidance/dwec/sumacetamin.pdf" TargetMode="External"/><Relationship Id="rId8" Type="http://schemas.openxmlformats.org/officeDocument/2006/relationships/hyperlink" Target="https://www.ingentaconnect.com/content/tandf/geac/2013/00000093/00000003/art00001" TargetMode="External"/><Relationship Id="rId9" Type="http://schemas.openxmlformats.org/officeDocument/2006/relationships/hyperlink" Target="https://link.springer.com/article/10.1007/s11356-016-6389-7" TargetMode="External"/><Relationship Id="rId10" Type="http://schemas.openxmlformats.org/officeDocument/2006/relationships/hyperlink" Target="https://www.waterqualitydata.us/" TargetMode="External"/><Relationship Id="rId11" Type="http://schemas.openxmlformats.org/officeDocument/2006/relationships/hyperlink" Target="https://www.orientjchem.org/?p=11983" TargetMode="External"/><Relationship Id="rId12" Type="http://schemas.openxmlformats.org/officeDocument/2006/relationships/hyperlink" Target="https://vjs.ac.vn/jst/article/view/16418" TargetMode="External"/><Relationship Id="rId13" Type="http://schemas.openxmlformats.org/officeDocument/2006/relationships/hyperlink" Target="https://repoemc.ukm.my/items/03278d67-ba15-49e1-8dd8-265793d35e3f/ful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4" min="3" style="0" width="14"/>
    <col collapsed="false" customWidth="true" hidden="false" outlineLevel="0" max="6" min="5" style="0" width="13"/>
    <col collapsed="false" customWidth="true" hidden="false" outlineLevel="0" max="7" min="7" style="0" width="5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6" t="s">
        <v>4</v>
      </c>
    </row>
    <row r="6" customFormat="false" ht="15" hidden="false" customHeight="false" outlineLevel="0" collapsed="false">
      <c r="A6" s="5" t="s">
        <v>5</v>
      </c>
      <c r="B6" s="7" t="n">
        <f aca="false">INDEX(Thresholds!$F$5:$F$12,MATCH($B$5,Thresholds!$B$5:$B$12,0))</f>
        <v>10</v>
      </c>
      <c r="C6" s="2" t="s">
        <v>6</v>
      </c>
    </row>
    <row r="7" customFormat="false" ht="15" hidden="false" customHeight="false" outlineLevel="0" collapsed="false">
      <c r="A7" s="5" t="s">
        <v>7</v>
      </c>
      <c r="B7" s="8" t="n">
        <f aca="false">Thresholds!$F$11</f>
        <v>175</v>
      </c>
      <c r="C7" s="2" t="s">
        <v>8</v>
      </c>
    </row>
    <row r="9" customFormat="false" ht="15" hidden="false" customHeight="false" outlineLevel="0" collapsed="false">
      <c r="A9" s="3" t="s">
        <v>9</v>
      </c>
      <c r="B9" s="4"/>
      <c r="C9" s="4"/>
      <c r="D9" s="4"/>
      <c r="E9" s="4"/>
      <c r="F9" s="4"/>
      <c r="G9" s="4"/>
    </row>
    <row r="10" customFormat="false" ht="15" hidden="false" customHeight="false" outlineLevel="0" collapsed="false">
      <c r="A10" s="9" t="s">
        <v>10</v>
      </c>
      <c r="B10" s="9" t="s">
        <v>11</v>
      </c>
      <c r="C10" s="9" t="s">
        <v>12</v>
      </c>
      <c r="D10" s="9" t="s">
        <v>13</v>
      </c>
      <c r="E10" s="9" t="s">
        <v>14</v>
      </c>
      <c r="F10" s="9" t="s">
        <v>15</v>
      </c>
      <c r="G10" s="9" t="s">
        <v>16</v>
      </c>
    </row>
    <row r="11" customFormat="false" ht="15" hidden="false" customHeight="false" outlineLevel="0" collapsed="false">
      <c r="A11" s="10" t="s">
        <v>17</v>
      </c>
      <c r="B11" s="11" t="s">
        <v>18</v>
      </c>
      <c r="C11" s="12" t="n">
        <v>0</v>
      </c>
      <c r="D11" s="12" t="n">
        <f aca="false">0.1*$B$6</f>
        <v>1</v>
      </c>
      <c r="E11" s="13" t="n">
        <f aca="false">C11/1000</f>
        <v>0</v>
      </c>
      <c r="F11" s="13" t="n">
        <f aca="false">IF(ISNUMBER(D11),D11/1000,"and above")</f>
        <v>0.001</v>
      </c>
      <c r="G11" s="11" t="s">
        <v>19</v>
      </c>
    </row>
    <row r="12" customFormat="false" ht="15" hidden="false" customHeight="false" outlineLevel="0" collapsed="false">
      <c r="A12" s="10" t="s">
        <v>20</v>
      </c>
      <c r="B12" s="11" t="s">
        <v>21</v>
      </c>
      <c r="C12" s="12" t="n">
        <f aca="false">0.1*$B$6</f>
        <v>1</v>
      </c>
      <c r="D12" s="12" t="n">
        <f aca="false">$B$6</f>
        <v>10</v>
      </c>
      <c r="E12" s="13" t="n">
        <f aca="false">C12/1000</f>
        <v>0.001</v>
      </c>
      <c r="F12" s="13" t="n">
        <f aca="false">IF(ISNUMBER(D12),D12/1000,"and above")</f>
        <v>0.01</v>
      </c>
      <c r="G12" s="11" t="s">
        <v>22</v>
      </c>
    </row>
    <row r="13" customFormat="false" ht="15" hidden="false" customHeight="false" outlineLevel="0" collapsed="false">
      <c r="A13" s="10" t="s">
        <v>23</v>
      </c>
      <c r="B13" s="11" t="s">
        <v>24</v>
      </c>
      <c r="C13" s="12" t="n">
        <f aca="false">$B$6</f>
        <v>10</v>
      </c>
      <c r="D13" s="12" t="s">
        <v>25</v>
      </c>
      <c r="E13" s="13" t="n">
        <f aca="false">C13/1000</f>
        <v>0.01</v>
      </c>
      <c r="F13" s="13" t="str">
        <f aca="false">IF(ISNUMBER(D13),D13/1000,"and above")</f>
        <v>and above</v>
      </c>
      <c r="G13" s="11" t="s">
        <v>26</v>
      </c>
    </row>
    <row r="15" customFormat="false" ht="15" hidden="false" customHeight="false" outlineLevel="0" collapsed="false">
      <c r="A15" s="3" t="s">
        <v>27</v>
      </c>
      <c r="B15" s="4"/>
      <c r="C15" s="4"/>
      <c r="D15" s="4"/>
      <c r="E15" s="4"/>
      <c r="F15" s="4"/>
      <c r="G15" s="4"/>
    </row>
    <row r="16" customFormat="false" ht="15" hidden="false" customHeight="false" outlineLevel="0" collapsed="false">
      <c r="A16" s="14" t="str">
        <f aca="false">"Good: below "&amp;ROUND(0.1*$B$6,3)&amp;" µg/L  ·  Warning: "&amp;ROUND(0.1*$B$6,3)&amp;"–"&amp;ROUND($B$6,3)&amp;" µg/L  ·  Bad: "&amp;ROUND($B$6,3)&amp;" µg/L or more (PNEC, "&amp;$B$5&amp;")"</f>
        <v>Good: below 1 µg/L  ·  Warning: 1–10 µg/L  ·  Bad: 10 µg/L or more (PNEC, Albarano 2025)</v>
      </c>
    </row>
    <row r="17" customFormat="false" ht="15" hidden="false" customHeight="false" outlineLevel="0" collapsed="false">
      <c r="A17" s="2" t="s">
        <v>28</v>
      </c>
    </row>
    <row r="19" customFormat="false" ht="15" hidden="false" customHeight="false" outlineLevel="0" collapsed="false">
      <c r="A19" s="3" t="s">
        <v>29</v>
      </c>
      <c r="B19" s="4"/>
      <c r="C19" s="4"/>
    </row>
    <row r="20" customFormat="false" ht="15" hidden="false" customHeight="false" outlineLevel="0" collapsed="false">
      <c r="A20" s="9" t="s">
        <v>30</v>
      </c>
      <c r="B20" s="9" t="s">
        <v>31</v>
      </c>
      <c r="C20" s="9" t="s">
        <v>32</v>
      </c>
    </row>
    <row r="21" customFormat="false" ht="15" hidden="false" customHeight="false" outlineLevel="0" collapsed="false">
      <c r="A21" s="11" t="s">
        <v>33</v>
      </c>
      <c r="B21" s="12" t="n">
        <f aca="false">Measured_Levels!$G$5</f>
        <v>0.042</v>
      </c>
      <c r="C21" s="11" t="s">
        <v>34</v>
      </c>
    </row>
    <row r="22" customFormat="false" ht="15" hidden="false" customHeight="false" outlineLevel="0" collapsed="false">
      <c r="A22" s="11" t="s">
        <v>35</v>
      </c>
      <c r="B22" s="12" t="n">
        <f aca="false">Measured_Levels!$G$9</f>
        <v>0.3463</v>
      </c>
      <c r="C22" s="11" t="s">
        <v>34</v>
      </c>
    </row>
    <row r="23" customFormat="false" ht="15" hidden="false" customHeight="false" outlineLevel="0" collapsed="false">
      <c r="A23" s="11" t="s">
        <v>36</v>
      </c>
      <c r="B23" s="12" t="n">
        <f aca="false">Measured_Levels!$G$7</f>
        <v>5.258</v>
      </c>
      <c r="C23" s="11" t="s">
        <v>34</v>
      </c>
    </row>
    <row r="24" customFormat="false" ht="15" hidden="false" customHeight="false" outlineLevel="0" collapsed="false">
      <c r="A24" s="11" t="s">
        <v>37</v>
      </c>
      <c r="B24" s="12" t="n">
        <f aca="false">$B$6</f>
        <v>10</v>
      </c>
      <c r="C24" s="11" t="s">
        <v>38</v>
      </c>
    </row>
    <row r="25" customFormat="false" ht="15" hidden="false" customHeight="false" outlineLevel="0" collapsed="false">
      <c r="A25" s="11" t="s">
        <v>39</v>
      </c>
      <c r="B25" s="12" t="n">
        <f aca="false">Measured_Levels!$G$11</f>
        <v>12.39</v>
      </c>
      <c r="C25" s="11" t="s">
        <v>34</v>
      </c>
    </row>
    <row r="26" customFormat="false" ht="15" hidden="false" customHeight="false" outlineLevel="0" collapsed="false">
      <c r="A26" s="11" t="s">
        <v>40</v>
      </c>
      <c r="B26" s="12" t="n">
        <f aca="false">Thresholds!$F$7</f>
        <v>46</v>
      </c>
      <c r="C26" s="11" t="s">
        <v>38</v>
      </c>
    </row>
    <row r="27" customFormat="false" ht="15" hidden="false" customHeight="false" outlineLevel="0" collapsed="false">
      <c r="A27" s="11" t="s">
        <v>41</v>
      </c>
      <c r="B27" s="12" t="n">
        <f aca="false">Thresholds!$F$6</f>
        <v>50</v>
      </c>
      <c r="C27" s="11" t="s">
        <v>38</v>
      </c>
    </row>
    <row r="28" customFormat="false" ht="15" hidden="false" customHeight="false" outlineLevel="0" collapsed="false">
      <c r="A28" s="11" t="s">
        <v>42</v>
      </c>
      <c r="B28" s="12" t="n">
        <f aca="false">Website_Check!$D$5</f>
        <v>150</v>
      </c>
      <c r="C28" s="11" t="s">
        <v>43</v>
      </c>
    </row>
    <row r="29" customFormat="false" ht="15" hidden="false" customHeight="false" outlineLevel="0" collapsed="false">
      <c r="A29" s="11" t="s">
        <v>44</v>
      </c>
      <c r="B29" s="12" t="n">
        <f aca="false">$B$7</f>
        <v>175</v>
      </c>
      <c r="C29" s="11" t="s">
        <v>38</v>
      </c>
    </row>
    <row r="30" customFormat="false" ht="15" hidden="false" customHeight="false" outlineLevel="0" collapsed="false">
      <c r="A30" s="11" t="s">
        <v>45</v>
      </c>
      <c r="B30" s="12" t="n">
        <f aca="false">Measured_Levels!$G$13</f>
        <v>4600</v>
      </c>
      <c r="C30" s="11" t="s">
        <v>34</v>
      </c>
    </row>
    <row r="31" customFormat="false" ht="15" hidden="false" customHeight="false" outlineLevel="0" collapsed="false">
      <c r="A31" s="11" t="s">
        <v>46</v>
      </c>
      <c r="B31" s="12" t="n">
        <f aca="false">Thresholds!$F$10</f>
        <v>16900</v>
      </c>
      <c r="C31" s="11" t="s">
        <v>38</v>
      </c>
    </row>
    <row r="33" customFormat="false" ht="15" hidden="false" customHeight="false" outlineLevel="0" collapsed="false">
      <c r="A33" s="3" t="s">
        <v>47</v>
      </c>
      <c r="B33" s="4"/>
      <c r="C33" s="4"/>
      <c r="D33" s="4"/>
      <c r="E33" s="4"/>
      <c r="F33" s="4"/>
      <c r="G33" s="4"/>
    </row>
    <row r="34" customFormat="false" ht="15" hidden="false" customHeight="false" outlineLevel="0" collapsed="false">
      <c r="A34" s="15" t="s">
        <v>48</v>
      </c>
      <c r="B34" s="16" t="s">
        <v>49</v>
      </c>
    </row>
    <row r="35" customFormat="false" ht="15" hidden="false" customHeight="false" outlineLevel="0" collapsed="false">
      <c r="A35" s="17" t="s">
        <v>50</v>
      </c>
      <c r="B35" s="16" t="s">
        <v>51</v>
      </c>
    </row>
    <row r="36" customFormat="false" ht="15" hidden="false" customHeight="false" outlineLevel="0" collapsed="false">
      <c r="A36" s="5" t="s">
        <v>52</v>
      </c>
      <c r="B36" s="16" t="s">
        <v>53</v>
      </c>
    </row>
    <row r="37" customFormat="false" ht="15" hidden="false" customHeight="false" outlineLevel="0" collapsed="false">
      <c r="A37" s="5" t="s">
        <v>54</v>
      </c>
      <c r="B37" s="16" t="s">
        <v>55</v>
      </c>
    </row>
    <row r="38" customFormat="false" ht="15" hidden="false" customHeight="false" outlineLevel="0" collapsed="false">
      <c r="A38" s="5" t="s">
        <v>56</v>
      </c>
      <c r="B38" s="16" t="s">
        <v>57</v>
      </c>
    </row>
    <row r="39" customFormat="false" ht="15" hidden="false" customHeight="false" outlineLevel="0" collapsed="false">
      <c r="A39" s="5" t="s">
        <v>58</v>
      </c>
      <c r="B39" s="16" t="s">
        <v>59</v>
      </c>
    </row>
    <row r="40" customFormat="false" ht="15" hidden="false" customHeight="false" outlineLevel="0" collapsed="false">
      <c r="A40" s="5" t="s">
        <v>60</v>
      </c>
      <c r="B40" s="16" t="s">
        <v>61</v>
      </c>
    </row>
    <row r="41" customFormat="false" ht="15" hidden="false" customHeight="false" outlineLevel="0" collapsed="false">
      <c r="A41" s="5" t="s">
        <v>62</v>
      </c>
      <c r="B41" s="16" t="s">
        <v>63</v>
      </c>
    </row>
    <row r="42" customFormat="false" ht="15" hidden="false" customHeight="false" outlineLevel="0" collapsed="false">
      <c r="A42" s="5" t="s">
        <v>64</v>
      </c>
      <c r="B42" s="16" t="s">
        <v>65</v>
      </c>
    </row>
    <row r="43" customFormat="false" ht="15" hidden="false" customHeight="false" outlineLevel="0" collapsed="false">
      <c r="A43" s="5" t="s">
        <v>66</v>
      </c>
      <c r="B43" s="16" t="s">
        <v>67</v>
      </c>
    </row>
    <row r="44" customFormat="false" ht="15" hidden="false" customHeight="false" outlineLevel="0" collapsed="false">
      <c r="A44" s="5" t="s">
        <v>68</v>
      </c>
      <c r="B44" s="16" t="s">
        <v>69</v>
      </c>
    </row>
  </sheetData>
  <conditionalFormatting sqref="A11:A13">
    <cfRule type="expression" priority="2" aboveAverage="0" equalAverage="0" bottom="0" percent="0" rank="0" text="" dxfId="0">
      <formula>$A11="Low"</formula>
    </cfRule>
    <cfRule type="expression" priority="3" aboveAverage="0" equalAverage="0" bottom="0" percent="0" rank="0" text="" dxfId="1">
      <formula>$A11="Medium"</formula>
    </cfRule>
    <cfRule type="expression" priority="4" aboveAverage="0" equalAverage="0" bottom="0" percent="0" rank="0" text="" dxfId="2">
      <formula>$A11="High"</formula>
    </cfRule>
  </conditionalFormatting>
  <dataValidations count="1">
    <dataValidation allowBlank="false" errorStyle="stop" operator="between" showDropDown="false" showErrorMessage="false" showInputMessage="false" sqref="B5" type="list">
      <formula1>"Albarano 2025,NORMAN,Shipingana 2022"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34"/>
    <col collapsed="false" customWidth="true" hidden="false" outlineLevel="0" max="4" min="4" style="0" width="10"/>
    <col collapsed="false" customWidth="true" hidden="false" outlineLevel="0" max="5" min="5" style="0" width="7"/>
    <col collapsed="false" customWidth="true" hidden="false" outlineLevel="0" max="6" min="6" style="0" width="12"/>
    <col collapsed="false" customWidth="true" hidden="false" outlineLevel="0" max="7" min="7" style="0" width="20"/>
    <col collapsed="false" customWidth="true" hidden="false" outlineLevel="0" max="8" min="8" style="0" width="44"/>
    <col collapsed="false" customWidth="true" hidden="false" outlineLevel="0" max="10" min="9" style="0" width="40"/>
  </cols>
  <sheetData>
    <row r="1" customFormat="false" ht="16.15" hidden="false" customHeight="false" outlineLevel="0" collapsed="false">
      <c r="A1" s="18" t="s">
        <v>70</v>
      </c>
    </row>
    <row r="2" customFormat="false" ht="15" hidden="false" customHeight="false" outlineLevel="0" collapsed="false">
      <c r="A2" s="2" t="s">
        <v>71</v>
      </c>
    </row>
    <row r="4" customFormat="false" ht="15" hidden="false" customHeight="false" outlineLevel="0" collapsed="false">
      <c r="A4" s="9" t="s">
        <v>72</v>
      </c>
      <c r="B4" s="9" t="s">
        <v>73</v>
      </c>
      <c r="C4" s="9" t="s">
        <v>38</v>
      </c>
      <c r="D4" s="9" t="s">
        <v>74</v>
      </c>
      <c r="E4" s="9" t="s">
        <v>75</v>
      </c>
      <c r="F4" s="9" t="s">
        <v>76</v>
      </c>
      <c r="G4" s="9" t="s">
        <v>77</v>
      </c>
      <c r="H4" s="9" t="s">
        <v>78</v>
      </c>
      <c r="I4" s="9" t="s">
        <v>79</v>
      </c>
      <c r="J4" s="9" t="s">
        <v>80</v>
      </c>
    </row>
    <row r="5" customFormat="false" ht="23.85" hidden="false" customHeight="false" outlineLevel="0" collapsed="false">
      <c r="A5" s="11" t="n">
        <v>1</v>
      </c>
      <c r="B5" s="10" t="s">
        <v>4</v>
      </c>
      <c r="C5" s="11" t="s">
        <v>81</v>
      </c>
      <c r="D5" s="19" t="n">
        <v>0.01</v>
      </c>
      <c r="E5" s="20" t="s">
        <v>82</v>
      </c>
      <c r="F5" s="12" t="n">
        <f aca="false">IF(D5="","",D5*IF(E5="ng/L",0.001,IF(E5="mg/L",1000,1)))</f>
        <v>10</v>
      </c>
      <c r="G5" s="11" t="s">
        <v>83</v>
      </c>
      <c r="H5" s="11" t="s">
        <v>84</v>
      </c>
      <c r="I5" s="11" t="s">
        <v>85</v>
      </c>
      <c r="J5" s="21" t="s">
        <v>86</v>
      </c>
    </row>
    <row r="6" customFormat="false" ht="23.85" hidden="false" customHeight="false" outlineLevel="0" collapsed="false">
      <c r="A6" s="11" t="n">
        <v>2</v>
      </c>
      <c r="B6" s="10" t="s">
        <v>87</v>
      </c>
      <c r="C6" s="11" t="s">
        <v>88</v>
      </c>
      <c r="D6" s="19" t="n">
        <v>0.05</v>
      </c>
      <c r="E6" s="20" t="s">
        <v>82</v>
      </c>
      <c r="F6" s="12" t="n">
        <f aca="false">IF(D6="","",D6*IF(E6="ng/L",0.001,IF(E6="mg/L",1000,1)))</f>
        <v>50</v>
      </c>
      <c r="G6" s="11" t="s">
        <v>89</v>
      </c>
      <c r="H6" s="11" t="s">
        <v>90</v>
      </c>
      <c r="I6" s="11" t="s">
        <v>91</v>
      </c>
      <c r="J6" s="21" t="s">
        <v>86</v>
      </c>
    </row>
    <row r="7" customFormat="false" ht="23.85" hidden="false" customHeight="false" outlineLevel="0" collapsed="false">
      <c r="A7" s="11" t="n">
        <v>3</v>
      </c>
      <c r="B7" s="10" t="s">
        <v>92</v>
      </c>
      <c r="C7" s="11" t="s">
        <v>93</v>
      </c>
      <c r="D7" s="19" t="n">
        <v>46</v>
      </c>
      <c r="E7" s="20" t="s">
        <v>31</v>
      </c>
      <c r="F7" s="12" t="n">
        <f aca="false">IF(D7="","",D7*IF(E7="ng/L",0.001,IF(E7="mg/L",1000,1)))</f>
        <v>46</v>
      </c>
      <c r="G7" s="11" t="s">
        <v>83</v>
      </c>
      <c r="H7" s="11" t="s">
        <v>94</v>
      </c>
      <c r="I7" s="11" t="s">
        <v>95</v>
      </c>
      <c r="J7" s="21" t="s">
        <v>96</v>
      </c>
    </row>
    <row r="8" customFormat="false" ht="15" hidden="false" customHeight="false" outlineLevel="0" collapsed="false">
      <c r="A8" s="11" t="n">
        <v>4</v>
      </c>
      <c r="B8" s="10" t="s">
        <v>97</v>
      </c>
      <c r="C8" s="11" t="s">
        <v>98</v>
      </c>
      <c r="D8" s="19" t="n">
        <v>12.9</v>
      </c>
      <c r="E8" s="20" t="s">
        <v>31</v>
      </c>
      <c r="F8" s="12" t="n">
        <f aca="false">IF(D8="","",D8*IF(E8="ng/L",0.001,IF(E8="mg/L",1000,1)))</f>
        <v>12.9</v>
      </c>
      <c r="G8" s="11" t="s">
        <v>89</v>
      </c>
      <c r="H8" s="11" t="s">
        <v>99</v>
      </c>
      <c r="I8" s="11" t="s">
        <v>100</v>
      </c>
      <c r="J8" s="21" t="s">
        <v>101</v>
      </c>
    </row>
    <row r="9" customFormat="false" ht="23.85" hidden="false" customHeight="false" outlineLevel="0" collapsed="false">
      <c r="A9" s="11" t="n">
        <v>5</v>
      </c>
      <c r="B9" s="10" t="s">
        <v>102</v>
      </c>
      <c r="C9" s="11" t="s">
        <v>103</v>
      </c>
      <c r="D9" s="19" t="n">
        <v>1.21</v>
      </c>
      <c r="E9" s="20" t="s">
        <v>82</v>
      </c>
      <c r="F9" s="12" t="n">
        <f aca="false">IF(D9="","",D9*IF(E9="ng/L",0.001,IF(E9="mg/L",1000,1)))</f>
        <v>1210</v>
      </c>
      <c r="G9" s="11" t="s">
        <v>89</v>
      </c>
      <c r="H9" s="11" t="s">
        <v>104</v>
      </c>
      <c r="I9" s="11" t="s">
        <v>105</v>
      </c>
      <c r="J9" s="21" t="s">
        <v>106</v>
      </c>
    </row>
    <row r="10" customFormat="false" ht="23.85" hidden="false" customHeight="false" outlineLevel="0" collapsed="false">
      <c r="A10" s="11" t="n">
        <v>6</v>
      </c>
      <c r="B10" s="10" t="s">
        <v>107</v>
      </c>
      <c r="C10" s="11" t="s">
        <v>108</v>
      </c>
      <c r="D10" s="19" t="n">
        <v>16.9</v>
      </c>
      <c r="E10" s="20" t="s">
        <v>82</v>
      </c>
      <c r="F10" s="12" t="n">
        <f aca="false">IF(D10="","",D10*IF(E10="ng/L",0.001,IF(E10="mg/L",1000,1)))</f>
        <v>16900</v>
      </c>
      <c r="G10" s="11" t="s">
        <v>109</v>
      </c>
      <c r="H10" s="11" t="s">
        <v>110</v>
      </c>
      <c r="I10" s="11" t="s">
        <v>111</v>
      </c>
      <c r="J10" s="21" t="s">
        <v>112</v>
      </c>
    </row>
    <row r="11" customFormat="false" ht="23.85" hidden="false" customHeight="false" outlineLevel="0" collapsed="false">
      <c r="A11" s="11" t="n">
        <v>7</v>
      </c>
      <c r="B11" s="10" t="s">
        <v>113</v>
      </c>
      <c r="C11" s="11" t="s">
        <v>114</v>
      </c>
      <c r="D11" s="19" t="n">
        <v>175</v>
      </c>
      <c r="E11" s="20" t="s">
        <v>31</v>
      </c>
      <c r="F11" s="12" t="n">
        <f aca="false">IF(D11="","",D11*IF(E11="ng/L",0.001,IF(E11="mg/L",1000,1)))</f>
        <v>175</v>
      </c>
      <c r="G11" s="11" t="s">
        <v>115</v>
      </c>
      <c r="H11" s="11" t="s">
        <v>116</v>
      </c>
      <c r="I11" s="11" t="s">
        <v>117</v>
      </c>
      <c r="J11" s="21" t="s">
        <v>118</v>
      </c>
    </row>
    <row r="12" customFormat="false" ht="15" hidden="false" customHeight="false" outlineLevel="0" collapsed="false">
      <c r="A12" s="11" t="n">
        <v>8</v>
      </c>
      <c r="B12" s="10" t="s">
        <v>119</v>
      </c>
      <c r="C12" s="11" t="s">
        <v>120</v>
      </c>
      <c r="D12" s="19" t="n">
        <v>200</v>
      </c>
      <c r="E12" s="20" t="s">
        <v>31</v>
      </c>
      <c r="F12" s="12" t="n">
        <f aca="false">IF(D12="","",D12*IF(E12="ng/L",0.001,IF(E12="mg/L",1000,1)))</f>
        <v>200</v>
      </c>
      <c r="G12" s="11" t="s">
        <v>115</v>
      </c>
      <c r="H12" s="11" t="s">
        <v>121</v>
      </c>
      <c r="I12" s="11" t="s">
        <v>122</v>
      </c>
      <c r="J12" s="21" t="s">
        <v>123</v>
      </c>
    </row>
    <row r="14" customFormat="false" ht="15" hidden="false" customHeight="false" outlineLevel="0" collapsed="false">
      <c r="A14" s="2" t="s">
        <v>124</v>
      </c>
    </row>
  </sheetData>
  <hyperlinks>
    <hyperlink ref="J5" r:id="rId1" display="https://www.iris.unisa.it/handle/11386/4949119"/>
    <hyperlink ref="J6" r:id="rId2" display="https://www.iris.unisa.it/handle/11386/4949119"/>
    <hyperlink ref="J7" r:id="rId3" display="https://enveurope.springeropen.com/articles/10.1186/s12302-024-01015-3/tables/4"/>
    <hyperlink ref="J8" r:id="rId4" display="https://link.springer.com/article/10.1007/s13201-022-01570-1"/>
    <hyperlink ref="J9" r:id="rId5" display="https://www.frontiersin.org/journals/marine-science/articles/10.3389/fmars.2022.1043792/pdf"/>
    <hyperlink ref="J10" r:id="rId6" display="https://www.koreascience.or.kr/article/JAKO200604623620474.page?lang=en"/>
    <hyperlink ref="J11" r:id="rId7" display="https://app.production.epa-vic-gov-au.sdp3.sdp.vic.gov.au/sites/default/files/epa/publications/appendix_a_emerging-contaminants-in-recycled-water_31may2023.pdf"/>
    <hyperlink ref="J12" r:id="rId8" display="https://www.health.mn.gov/communities/environment/risk/docs/guidance/dwec/sumacetamin.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2"/>
    <col collapsed="false" customWidth="true" hidden="false" outlineLevel="0" max="4" min="4" style="0" width="26"/>
    <col collapsed="false" customWidth="true" hidden="false" outlineLevel="0" max="5" min="5" style="0" width="10"/>
    <col collapsed="false" customWidth="true" hidden="false" outlineLevel="0" max="6" min="6" style="0" width="7"/>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0" min="10" style="0" width="12"/>
    <col collapsed="false" customWidth="true" hidden="false" outlineLevel="0" max="13" min="11" style="0" width="40"/>
  </cols>
  <sheetData>
    <row r="1" customFormat="false" ht="16.15" hidden="false" customHeight="false" outlineLevel="0" collapsed="false">
      <c r="A1" s="18" t="s">
        <v>125</v>
      </c>
    </row>
    <row r="2" customFormat="false" ht="15" hidden="false" customHeight="false" outlineLevel="0" collapsed="false">
      <c r="A2" s="2" t="s">
        <v>126</v>
      </c>
    </row>
    <row r="4" customFormat="false" ht="35.05" hidden="false" customHeight="false" outlineLevel="0" collapsed="false">
      <c r="A4" s="9" t="s">
        <v>72</v>
      </c>
      <c r="B4" s="9" t="s">
        <v>127</v>
      </c>
      <c r="C4" s="9" t="s">
        <v>128</v>
      </c>
      <c r="D4" s="9" t="s">
        <v>129</v>
      </c>
      <c r="E4" s="9" t="s">
        <v>74</v>
      </c>
      <c r="F4" s="9" t="s">
        <v>75</v>
      </c>
      <c r="G4" s="9" t="s">
        <v>76</v>
      </c>
      <c r="H4" s="9" t="s">
        <v>130</v>
      </c>
      <c r="I4" s="9" t="s">
        <v>131</v>
      </c>
      <c r="J4" s="9" t="s">
        <v>132</v>
      </c>
      <c r="K4" s="9" t="s">
        <v>79</v>
      </c>
      <c r="L4" s="9" t="s">
        <v>80</v>
      </c>
      <c r="M4" s="9" t="s">
        <v>133</v>
      </c>
    </row>
    <row r="5" customFormat="false" ht="23.85" hidden="false" customHeight="false" outlineLevel="0" collapsed="false">
      <c r="A5" s="11" t="n">
        <v>1</v>
      </c>
      <c r="B5" s="11" t="s">
        <v>134</v>
      </c>
      <c r="C5" s="11" t="s">
        <v>135</v>
      </c>
      <c r="D5" s="11" t="s">
        <v>136</v>
      </c>
      <c r="E5" s="19" t="n">
        <v>42</v>
      </c>
      <c r="F5" s="20" t="s">
        <v>137</v>
      </c>
      <c r="G5" s="12" t="n">
        <f aca="false">IF(E5="","",E5*IF(F5="ng/L",0.001,IF(F5="mg/L",1000,1)))</f>
        <v>0.042</v>
      </c>
      <c r="H5" s="22" t="n">
        <f aca="false">IF(G5="","",G5/Summary!$B$6)</f>
        <v>0.0042</v>
      </c>
      <c r="I5" s="11" t="str">
        <f aca="false">IF(H5="","",IF(H5&lt;0.1,"Low",IF(H5&lt;1,"Medium","High")))</f>
        <v>Low</v>
      </c>
      <c r="J5" s="11" t="str">
        <f aca="false">IF(G5="","",IF(G5&gt;=Summary!$B$7,"Yes","No"))</f>
        <v>No</v>
      </c>
      <c r="K5" s="11" t="s">
        <v>138</v>
      </c>
      <c r="L5" s="21" t="s">
        <v>139</v>
      </c>
      <c r="M5" s="11" t="s">
        <v>140</v>
      </c>
    </row>
    <row r="6" customFormat="false" ht="23.85" hidden="false" customHeight="false" outlineLevel="0" collapsed="false">
      <c r="A6" s="11" t="n">
        <v>2</v>
      </c>
      <c r="B6" s="11" t="s">
        <v>134</v>
      </c>
      <c r="C6" s="11" t="s">
        <v>141</v>
      </c>
      <c r="D6" s="11" t="s">
        <v>142</v>
      </c>
      <c r="E6" s="19" t="n">
        <v>298.9</v>
      </c>
      <c r="F6" s="20" t="s">
        <v>137</v>
      </c>
      <c r="G6" s="12" t="n">
        <f aca="false">IF(E6="","",E6*IF(F6="ng/L",0.001,IF(F6="mg/L",1000,1)))</f>
        <v>0.2989</v>
      </c>
      <c r="H6" s="22" t="n">
        <f aca="false">IF(G6="","",G6/Summary!$B$6)</f>
        <v>0.02989</v>
      </c>
      <c r="I6" s="11" t="str">
        <f aca="false">IF(H6="","",IF(H6&lt;0.1,"Low",IF(H6&lt;1,"Medium","High")))</f>
        <v>Low</v>
      </c>
      <c r="J6" s="11" t="str">
        <f aca="false">IF(G6="","",IF(G6&gt;=Summary!$B$7,"Yes","No"))</f>
        <v>No</v>
      </c>
      <c r="K6" s="11" t="s">
        <v>138</v>
      </c>
      <c r="L6" s="21" t="s">
        <v>139</v>
      </c>
      <c r="M6" s="11"/>
    </row>
    <row r="7" customFormat="false" ht="23.85" hidden="false" customHeight="false" outlineLevel="0" collapsed="false">
      <c r="A7" s="11" t="n">
        <v>3</v>
      </c>
      <c r="B7" s="11" t="s">
        <v>134</v>
      </c>
      <c r="C7" s="11" t="s">
        <v>141</v>
      </c>
      <c r="D7" s="11" t="s">
        <v>143</v>
      </c>
      <c r="E7" s="19" t="n">
        <v>5258</v>
      </c>
      <c r="F7" s="20" t="s">
        <v>137</v>
      </c>
      <c r="G7" s="12" t="n">
        <f aca="false">IF(E7="","",E7*IF(F7="ng/L",0.001,IF(F7="mg/L",1000,1)))</f>
        <v>5.258</v>
      </c>
      <c r="H7" s="22" t="n">
        <f aca="false">IF(G7="","",G7/Summary!$B$6)</f>
        <v>0.5258</v>
      </c>
      <c r="I7" s="11" t="str">
        <f aca="false">IF(H7="","",IF(H7&lt;0.1,"Low",IF(H7&lt;1,"Medium","High")))</f>
        <v>Medium</v>
      </c>
      <c r="J7" s="11" t="str">
        <f aca="false">IF(G7="","",IF(G7&gt;=Summary!$B$7,"Yes","No"))</f>
        <v>No</v>
      </c>
      <c r="K7" s="11" t="s">
        <v>138</v>
      </c>
      <c r="L7" s="21" t="s">
        <v>139</v>
      </c>
      <c r="M7" s="11"/>
    </row>
    <row r="8" customFormat="false" ht="23.85" hidden="false" customHeight="false" outlineLevel="0" collapsed="false">
      <c r="A8" s="11" t="n">
        <v>4</v>
      </c>
      <c r="B8" s="11" t="s">
        <v>134</v>
      </c>
      <c r="C8" s="11" t="s">
        <v>141</v>
      </c>
      <c r="D8" s="11" t="s">
        <v>144</v>
      </c>
      <c r="E8" s="19" t="n">
        <v>76000</v>
      </c>
      <c r="F8" s="20" t="s">
        <v>137</v>
      </c>
      <c r="G8" s="12" t="n">
        <f aca="false">IF(E8="","",E8*IF(F8="ng/L",0.001,IF(F8="mg/L",1000,1)))</f>
        <v>76</v>
      </c>
      <c r="H8" s="22" t="n">
        <f aca="false">IF(G8="","",G8/Summary!$B$6)</f>
        <v>7.6</v>
      </c>
      <c r="I8" s="11" t="str">
        <f aca="false">IF(H8="","",IF(H8&lt;0.1,"Low",IF(H8&lt;1,"Medium","High")))</f>
        <v>High</v>
      </c>
      <c r="J8" s="11" t="str">
        <f aca="false">IF(G8="","",IF(G8&gt;=Summary!$B$7,"Yes","No"))</f>
        <v>No</v>
      </c>
      <c r="K8" s="11" t="s">
        <v>138</v>
      </c>
      <c r="L8" s="21" t="s">
        <v>139</v>
      </c>
      <c r="M8" s="11" t="s">
        <v>145</v>
      </c>
    </row>
    <row r="9" customFormat="false" ht="23.85" hidden="false" customHeight="false" outlineLevel="0" collapsed="false">
      <c r="A9" s="11" t="n">
        <v>5</v>
      </c>
      <c r="B9" s="11" t="s">
        <v>134</v>
      </c>
      <c r="C9" s="11" t="s">
        <v>146</v>
      </c>
      <c r="D9" s="11" t="s">
        <v>144</v>
      </c>
      <c r="E9" s="19" t="n">
        <v>346.3</v>
      </c>
      <c r="F9" s="20" t="s">
        <v>137</v>
      </c>
      <c r="G9" s="12" t="n">
        <f aca="false">IF(E9="","",E9*IF(F9="ng/L",0.001,IF(F9="mg/L",1000,1)))</f>
        <v>0.3463</v>
      </c>
      <c r="H9" s="22" t="n">
        <f aca="false">IF(G9="","",G9/Summary!$B$6)</f>
        <v>0.03463</v>
      </c>
      <c r="I9" s="11" t="str">
        <f aca="false">IF(H9="","",IF(H9&lt;0.1,"Low",IF(H9&lt;1,"Medium","High")))</f>
        <v>Low</v>
      </c>
      <c r="J9" s="11" t="str">
        <f aca="false">IF(G9="","",IF(G9&gt;=Summary!$B$7,"Yes","No"))</f>
        <v>No</v>
      </c>
      <c r="K9" s="11" t="s">
        <v>147</v>
      </c>
      <c r="L9" s="21" t="s">
        <v>148</v>
      </c>
      <c r="M9" s="11" t="s">
        <v>149</v>
      </c>
    </row>
    <row r="10" customFormat="false" ht="15" hidden="false" customHeight="false" outlineLevel="0" collapsed="false">
      <c r="A10" s="11" t="n">
        <v>6</v>
      </c>
      <c r="B10" s="11" t="s">
        <v>134</v>
      </c>
      <c r="C10" s="11" t="s">
        <v>150</v>
      </c>
      <c r="D10" s="11" t="s">
        <v>34</v>
      </c>
      <c r="E10" s="19" t="n">
        <v>0.439</v>
      </c>
      <c r="F10" s="20" t="s">
        <v>31</v>
      </c>
      <c r="G10" s="12" t="n">
        <f aca="false">IF(E10="","",E10*IF(F10="ng/L",0.001,IF(F10="mg/L",1000,1)))</f>
        <v>0.439</v>
      </c>
      <c r="H10" s="22" t="n">
        <f aca="false">IF(G10="","",G10/Summary!$B$6)</f>
        <v>0.0439</v>
      </c>
      <c r="I10" s="11" t="str">
        <f aca="false">IF(H10="","",IF(H10&lt;0.1,"Low",IF(H10&lt;1,"Medium","High")))</f>
        <v>Low</v>
      </c>
      <c r="J10" s="11" t="str">
        <f aca="false">IF(G10="","",IF(G10&gt;=Summary!$B$7,"Yes","No"))</f>
        <v>No</v>
      </c>
      <c r="K10" s="11" t="s">
        <v>151</v>
      </c>
      <c r="L10" s="21" t="s">
        <v>112</v>
      </c>
      <c r="M10" s="11"/>
    </row>
    <row r="11" customFormat="false" ht="23.85" hidden="false" customHeight="false" outlineLevel="0" collapsed="false">
      <c r="A11" s="11" t="n">
        <v>7</v>
      </c>
      <c r="B11" s="11" t="s">
        <v>152</v>
      </c>
      <c r="C11" s="11" t="s">
        <v>153</v>
      </c>
      <c r="D11" s="11" t="s">
        <v>144</v>
      </c>
      <c r="E11" s="19" t="n">
        <v>12.39</v>
      </c>
      <c r="F11" s="20" t="s">
        <v>31</v>
      </c>
      <c r="G11" s="12" t="n">
        <f aca="false">IF(E11="","",E11*IF(F11="ng/L",0.001,IF(F11="mg/L",1000,1)))</f>
        <v>12.39</v>
      </c>
      <c r="H11" s="22" t="n">
        <f aca="false">IF(G11="","",G11/Summary!$B$6)</f>
        <v>1.239</v>
      </c>
      <c r="I11" s="11" t="str">
        <f aca="false">IF(H11="","",IF(H11&lt;0.1,"Low",IF(H11&lt;1,"Medium","High")))</f>
        <v>High</v>
      </c>
      <c r="J11" s="11" t="str">
        <f aca="false">IF(G11="","",IF(G11&gt;=Summary!$B$7,"Yes","No"))</f>
        <v>No</v>
      </c>
      <c r="K11" s="11" t="s">
        <v>154</v>
      </c>
      <c r="L11" s="21" t="s">
        <v>155</v>
      </c>
      <c r="M11" s="11"/>
    </row>
    <row r="12" customFormat="false" ht="15" hidden="false" customHeight="false" outlineLevel="0" collapsed="false">
      <c r="A12" s="11" t="n">
        <v>8</v>
      </c>
      <c r="B12" s="11" t="s">
        <v>156</v>
      </c>
      <c r="C12" s="11" t="s">
        <v>157</v>
      </c>
      <c r="D12" s="11" t="s">
        <v>158</v>
      </c>
      <c r="E12" s="19"/>
      <c r="F12" s="20"/>
      <c r="G12" s="12" t="str">
        <f aca="false">IF(E12="","",E12*IF(F12="ng/L",0.001,IF(F12="mg/L",1000,1)))</f>
        <v/>
      </c>
      <c r="H12" s="22" t="str">
        <f aca="false">IF(G12="","",G12/Summary!$B$6)</f>
        <v/>
      </c>
      <c r="I12" s="11" t="str">
        <f aca="false">IF(H12="","",IF(H12&lt;0.1,"Low",IF(H12&lt;1,"Medium","High")))</f>
        <v/>
      </c>
      <c r="J12" s="11" t="str">
        <f aca="false">IF(G12="","",IF(G12&gt;=Summary!$B$7,"Yes","No"))</f>
        <v/>
      </c>
      <c r="K12" s="11" t="s">
        <v>159</v>
      </c>
      <c r="L12" s="21" t="s">
        <v>155</v>
      </c>
      <c r="M12" s="11" t="s">
        <v>160</v>
      </c>
    </row>
    <row r="13" customFormat="false" ht="15" hidden="false" customHeight="false" outlineLevel="0" collapsed="false">
      <c r="A13" s="11" t="n">
        <v>9</v>
      </c>
      <c r="B13" s="11" t="s">
        <v>161</v>
      </c>
      <c r="C13" s="11" t="s">
        <v>162</v>
      </c>
      <c r="D13" s="11" t="s">
        <v>34</v>
      </c>
      <c r="E13" s="19" t="n">
        <v>4.6</v>
      </c>
      <c r="F13" s="20" t="s">
        <v>82</v>
      </c>
      <c r="G13" s="12" t="n">
        <f aca="false">IF(E13="","",E13*IF(F13="ng/L",0.001,IF(F13="mg/L",1000,1)))</f>
        <v>4600</v>
      </c>
      <c r="H13" s="22" t="n">
        <f aca="false">IF(G13="","",G13/Summary!$B$6)</f>
        <v>460</v>
      </c>
      <c r="I13" s="11" t="str">
        <f aca="false">IF(H13="","",IF(H13&lt;0.1,"Low",IF(H13&lt;1,"Medium","High")))</f>
        <v>High</v>
      </c>
      <c r="J13" s="11" t="str">
        <f aca="false">IF(G13="","",IF(G13&gt;=Summary!$B$7,"Yes","No"))</f>
        <v>Yes</v>
      </c>
      <c r="K13" s="11" t="s">
        <v>100</v>
      </c>
      <c r="L13" s="21" t="s">
        <v>101</v>
      </c>
      <c r="M13" s="11"/>
    </row>
    <row r="14" customFormat="false" ht="15" hidden="false" customHeight="false" outlineLevel="0" collapsed="false">
      <c r="A14" s="11" t="n">
        <v>10</v>
      </c>
      <c r="B14" s="11" t="s">
        <v>163</v>
      </c>
      <c r="C14" s="11" t="s">
        <v>162</v>
      </c>
      <c r="D14" s="11" t="s">
        <v>158</v>
      </c>
      <c r="E14" s="19"/>
      <c r="F14" s="20"/>
      <c r="G14" s="12" t="str">
        <f aca="false">IF(E14="","",E14*IF(F14="ng/L",0.001,IF(F14="mg/L",1000,1)))</f>
        <v/>
      </c>
      <c r="H14" s="22" t="str">
        <f aca="false">IF(G14="","",G14/Summary!$B$6)</f>
        <v/>
      </c>
      <c r="I14" s="11" t="str">
        <f aca="false">IF(H14="","",IF(H14&lt;0.1,"Low",IF(H14&lt;1,"Medium","High")))</f>
        <v/>
      </c>
      <c r="J14" s="11" t="str">
        <f aca="false">IF(G14="","",IF(G14&gt;=Summary!$B$7,"Yes","No"))</f>
        <v/>
      </c>
      <c r="K14" s="11" t="s">
        <v>164</v>
      </c>
      <c r="L14" s="21" t="s">
        <v>101</v>
      </c>
      <c r="M14" s="11" t="s">
        <v>165</v>
      </c>
    </row>
    <row r="15" customFormat="false" ht="23.85" hidden="false" customHeight="false" outlineLevel="0" collapsed="false">
      <c r="A15" s="11" t="n">
        <v>11</v>
      </c>
      <c r="B15" s="11" t="s">
        <v>166</v>
      </c>
      <c r="C15" s="11" t="s">
        <v>167</v>
      </c>
      <c r="D15" s="11" t="s">
        <v>168</v>
      </c>
      <c r="E15" s="12" t="n">
        <f aca="false">800*Thresholds!$F$5</f>
        <v>8000</v>
      </c>
      <c r="F15" s="20" t="s">
        <v>31</v>
      </c>
      <c r="G15" s="12" t="n">
        <f aca="false">IF(E15="","",E15*IF(F15="ng/L",0.001,IF(F15="mg/L",1000,1)))</f>
        <v>8000</v>
      </c>
      <c r="H15" s="22" t="n">
        <f aca="false">IF(G15="","",G15/Summary!$B$6)</f>
        <v>800</v>
      </c>
      <c r="I15" s="11" t="str">
        <f aca="false">IF(H15="","",IF(H15&lt;0.1,"Low",IF(H15&lt;1,"Medium","High")))</f>
        <v>High</v>
      </c>
      <c r="J15" s="11" t="str">
        <f aca="false">IF(G15="","",IF(G15&gt;=Summary!$B$7,"Yes","No"))</f>
        <v>Yes</v>
      </c>
      <c r="K15" s="11" t="s">
        <v>169</v>
      </c>
      <c r="L15" s="21" t="s">
        <v>86</v>
      </c>
      <c r="M15" s="11" t="s">
        <v>170</v>
      </c>
    </row>
    <row r="16" customFormat="false" ht="35.05" hidden="false" customHeight="false" outlineLevel="0" collapsed="false">
      <c r="A16" s="11" t="n">
        <v>12</v>
      </c>
      <c r="B16" s="11" t="s">
        <v>171</v>
      </c>
      <c r="C16" s="11" t="s">
        <v>172</v>
      </c>
      <c r="D16" s="11" t="s">
        <v>173</v>
      </c>
      <c r="E16" s="19"/>
      <c r="F16" s="20"/>
      <c r="G16" s="12" t="str">
        <f aca="false">IF(E16="","",E16*IF(F16="ng/L",0.001,IF(F16="mg/L",1000,1)))</f>
        <v/>
      </c>
      <c r="H16" s="22" t="str">
        <f aca="false">IF(G16="","",G16/Summary!$B$6)</f>
        <v/>
      </c>
      <c r="I16" s="11" t="str">
        <f aca="false">IF(H16="","",IF(H16&lt;0.1,"Low",IF(H16&lt;1,"Medium","High")))</f>
        <v/>
      </c>
      <c r="J16" s="11" t="str">
        <f aca="false">IF(G16="","",IF(G16&gt;=Summary!$B$7,"Yes","No"))</f>
        <v/>
      </c>
      <c r="K16" s="11" t="s">
        <v>174</v>
      </c>
      <c r="L16" s="21" t="s">
        <v>175</v>
      </c>
      <c r="M16" s="11" t="s">
        <v>176</v>
      </c>
    </row>
  </sheetData>
  <conditionalFormatting sqref="I5:I16">
    <cfRule type="expression" priority="2" aboveAverage="0" equalAverage="0" bottom="0" percent="0" rank="0" text="" dxfId="0">
      <formula>$I5="Low"</formula>
    </cfRule>
    <cfRule type="expression" priority="3" aboveAverage="0" equalAverage="0" bottom="0" percent="0" rank="0" text="" dxfId="1">
      <formula>$I5="Medium"</formula>
    </cfRule>
    <cfRule type="expression" priority="4" aboveAverage="0" equalAverage="0" bottom="0" percent="0" rank="0" text="" dxfId="2">
      <formula>$I5="High"</formula>
    </cfRule>
  </conditionalFormatting>
  <hyperlinks>
    <hyperlink ref="L5" r:id="rId1" display="https://www.waterqualitydata.us/"/>
    <hyperlink ref="L6" r:id="rId2" display="https://www.waterqualitydata.us/"/>
    <hyperlink ref="L7" r:id="rId3" display="https://www.waterqualitydata.us/"/>
    <hyperlink ref="L8" r:id="rId4" display="https://www.waterqualitydata.us/"/>
    <hyperlink ref="L9" r:id="rId5" display="https://www.ingentaconnect.com/content/tandf/geac/2013/00000093/00000003/art00001"/>
    <hyperlink ref="L10" r:id="rId6" display="https://www.koreascience.or.kr/article/JAKO200604623620474.page?lang=en"/>
    <hyperlink ref="L11" r:id="rId7" display="https://link.springer.com/article/10.1007/s11356-016-6389-7"/>
    <hyperlink ref="L12" r:id="rId8" display="https://link.springer.com/article/10.1007/s11356-016-6389-7"/>
    <hyperlink ref="L13" r:id="rId9" display="https://link.springer.com/article/10.1007/s13201-022-01570-1"/>
    <hyperlink ref="L14" r:id="rId10" display="https://link.springer.com/article/10.1007/s13201-022-01570-1"/>
    <hyperlink ref="L15" r:id="rId11" display="https://www.iris.unisa.it/handle/11386/4949119"/>
    <hyperlink ref="L16" r:id="rId12" display="https://repoemc.ukm.my/items/03278d67-ba15-49e1-8dd8-265793d35e3f/ful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8"/>
    <col collapsed="false" customWidth="true" hidden="false" outlineLevel="0" max="5" min="4" style="0" width="12"/>
    <col collapsed="false" customWidth="true" hidden="false" outlineLevel="0" max="6" min="6" style="0" width="10"/>
    <col collapsed="false" customWidth="true" hidden="false" outlineLevel="0" max="7" min="7" style="0" width="11"/>
    <col collapsed="false" customWidth="true" hidden="false" outlineLevel="0" max="8" min="8" style="0" width="20"/>
  </cols>
  <sheetData>
    <row r="1" customFormat="false" ht="16.15" hidden="false" customHeight="false" outlineLevel="0" collapsed="false">
      <c r="A1" s="18" t="s">
        <v>177</v>
      </c>
    </row>
    <row r="2" customFormat="false" ht="15" hidden="false" customHeight="false" outlineLevel="0" collapsed="false">
      <c r="A2" s="2" t="s">
        <v>178</v>
      </c>
    </row>
    <row r="3" customFormat="false" ht="15" hidden="false" customHeight="false" outlineLevel="0" collapsed="false">
      <c r="A3" s="23" t="str">
        <f aca="false">"Using PNEC = "&amp;Summary!$B$6&amp;" µg/L ("&amp;Summary!$B$5&amp;"); drinking-water limit = "&amp;Summary!$B$7&amp;" µg/L"</f>
        <v>Using PNEC = 10 µg/L (Albarano 2025); drinking-water limit = 175 µg/L</v>
      </c>
    </row>
    <row r="5" customFormat="false" ht="15" hidden="false" customHeight="false" outlineLevel="0" collapsed="false">
      <c r="A5" s="9" t="s">
        <v>179</v>
      </c>
      <c r="B5" s="9" t="s">
        <v>180</v>
      </c>
      <c r="C5" s="9" t="s">
        <v>75</v>
      </c>
      <c r="D5" s="9" t="s">
        <v>31</v>
      </c>
      <c r="E5" s="9" t="s">
        <v>82</v>
      </c>
      <c r="F5" s="9" t="s">
        <v>181</v>
      </c>
      <c r="G5" s="9" t="s">
        <v>131</v>
      </c>
      <c r="H5" s="9" t="s">
        <v>182</v>
      </c>
    </row>
    <row r="6" customFormat="false" ht="15" hidden="false" customHeight="false" outlineLevel="0" collapsed="false">
      <c r="A6" s="20" t="s">
        <v>183</v>
      </c>
      <c r="B6" s="19" t="n">
        <v>120</v>
      </c>
      <c r="C6" s="20" t="s">
        <v>137</v>
      </c>
      <c r="D6" s="12" t="n">
        <f aca="false">IF(OR(B6="",C6=""),"",B6*IF(C6="ng/L",0.001,IF(C6="mg/L",1000,IF(OR(C6="µg/L",C6="ug/L"),1,NA()))))</f>
        <v>0.12</v>
      </c>
      <c r="E6" s="13" t="n">
        <f aca="false">IF(D6="","",D6/1000)</f>
        <v>0.00012</v>
      </c>
      <c r="F6" s="22" t="n">
        <f aca="false">IF(D6="","",D6/Summary!$B$6)</f>
        <v>0.012</v>
      </c>
      <c r="G6" s="11" t="str">
        <f aca="false">IF(F6="","",IF(F6&lt;0.1,"Low",IF(F6&lt;1,"Medium","High")))</f>
        <v>Low</v>
      </c>
      <c r="H6" s="11" t="str">
        <f aca="false">IF(D6="","",IF(D6&gt;=Summary!$B$7,"Above","Below"))</f>
        <v>Below</v>
      </c>
    </row>
    <row r="7" customFormat="false" ht="15" hidden="false" customHeight="false" outlineLevel="0" collapsed="false">
      <c r="A7" s="20" t="s">
        <v>184</v>
      </c>
      <c r="B7" s="19" t="n">
        <v>0.05</v>
      </c>
      <c r="C7" s="20" t="s">
        <v>82</v>
      </c>
      <c r="D7" s="12" t="n">
        <f aca="false">IF(OR(B7="",C7=""),"",B7*IF(C7="ng/L",0.001,IF(C7="mg/L",1000,IF(OR(C7="µg/L",C7="ug/L"),1,NA()))))</f>
        <v>50</v>
      </c>
      <c r="E7" s="13" t="n">
        <f aca="false">IF(D7="","",D7/1000)</f>
        <v>0.05</v>
      </c>
      <c r="F7" s="22" t="n">
        <f aca="false">IF(D7="","",D7/Summary!$B$6)</f>
        <v>5</v>
      </c>
      <c r="G7" s="11" t="str">
        <f aca="false">IF(F7="","",IF(F7&lt;0.1,"Low",IF(F7&lt;1,"Medium","High")))</f>
        <v>High</v>
      </c>
      <c r="H7" s="11" t="str">
        <f aca="false">IF(D7="","",IF(D7&gt;=Summary!$B$7,"Above","Below"))</f>
        <v>Below</v>
      </c>
    </row>
    <row r="8" customFormat="false" ht="15" hidden="false" customHeight="false" outlineLevel="0" collapsed="false">
      <c r="A8" s="20"/>
      <c r="B8" s="19"/>
      <c r="C8" s="20"/>
      <c r="D8" s="12" t="str">
        <f aca="false">IF(OR(B8="",C8=""),"",B8*IF(C8="ng/L",0.001,IF(C8="mg/L",1000,IF(OR(C8="µg/L",C8="ug/L"),1,NA()))))</f>
        <v/>
      </c>
      <c r="E8" s="13" t="str">
        <f aca="false">IF(D8="","",D8/1000)</f>
        <v/>
      </c>
      <c r="F8" s="22" t="str">
        <f aca="false">IF(D8="","",D8/Summary!$B$6)</f>
        <v/>
      </c>
      <c r="G8" s="11" t="str">
        <f aca="false">IF(F8="","",IF(F8&lt;0.1,"Low",IF(F8&lt;1,"Medium","High")))</f>
        <v/>
      </c>
      <c r="H8" s="11" t="str">
        <f aca="false">IF(D8="","",IF(D8&gt;=Summary!$B$7,"Above","Below"))</f>
        <v/>
      </c>
    </row>
    <row r="9" customFormat="false" ht="15" hidden="false" customHeight="false" outlineLevel="0" collapsed="false">
      <c r="A9" s="20"/>
      <c r="B9" s="19"/>
      <c r="C9" s="20"/>
      <c r="D9" s="12" t="str">
        <f aca="false">IF(OR(B9="",C9=""),"",B9*IF(C9="ng/L",0.001,IF(C9="mg/L",1000,IF(OR(C9="µg/L",C9="ug/L"),1,NA()))))</f>
        <v/>
      </c>
      <c r="E9" s="13" t="str">
        <f aca="false">IF(D9="","",D9/1000)</f>
        <v/>
      </c>
      <c r="F9" s="22" t="str">
        <f aca="false">IF(D9="","",D9/Summary!$B$6)</f>
        <v/>
      </c>
      <c r="G9" s="11" t="str">
        <f aca="false">IF(F9="","",IF(F9&lt;0.1,"Low",IF(F9&lt;1,"Medium","High")))</f>
        <v/>
      </c>
      <c r="H9" s="11" t="str">
        <f aca="false">IF(D9="","",IF(D9&gt;=Summary!$B$7,"Above","Below"))</f>
        <v/>
      </c>
    </row>
    <row r="10" customFormat="false" ht="15" hidden="false" customHeight="false" outlineLevel="0" collapsed="false">
      <c r="A10" s="20"/>
      <c r="B10" s="19"/>
      <c r="C10" s="20"/>
      <c r="D10" s="12" t="str">
        <f aca="false">IF(OR(B10="",C10=""),"",B10*IF(C10="ng/L",0.001,IF(C10="mg/L",1000,IF(OR(C10="µg/L",C10="ug/L"),1,NA()))))</f>
        <v/>
      </c>
      <c r="E10" s="13" t="str">
        <f aca="false">IF(D10="","",D10/1000)</f>
        <v/>
      </c>
      <c r="F10" s="22" t="str">
        <f aca="false">IF(D10="","",D10/Summary!$B$6)</f>
        <v/>
      </c>
      <c r="G10" s="11" t="str">
        <f aca="false">IF(F10="","",IF(F10&lt;0.1,"Low",IF(F10&lt;1,"Medium","High")))</f>
        <v/>
      </c>
      <c r="H10" s="11" t="str">
        <f aca="false">IF(D10="","",IF(D10&gt;=Summary!$B$7,"Above","Below"))</f>
        <v/>
      </c>
    </row>
    <row r="11" customFormat="false" ht="15" hidden="false" customHeight="false" outlineLevel="0" collapsed="false">
      <c r="A11" s="20"/>
      <c r="B11" s="19"/>
      <c r="C11" s="20"/>
      <c r="D11" s="12" t="str">
        <f aca="false">IF(OR(B11="",C11=""),"",B11*IF(C11="ng/L",0.001,IF(C11="mg/L",1000,IF(OR(C11="µg/L",C11="ug/L"),1,NA()))))</f>
        <v/>
      </c>
      <c r="E11" s="13" t="str">
        <f aca="false">IF(D11="","",D11/1000)</f>
        <v/>
      </c>
      <c r="F11" s="22" t="str">
        <f aca="false">IF(D11="","",D11/Summary!$B$6)</f>
        <v/>
      </c>
      <c r="G11" s="11" t="str">
        <f aca="false">IF(F11="","",IF(F11&lt;0.1,"Low",IF(F11&lt;1,"Medium","High")))</f>
        <v/>
      </c>
      <c r="H11" s="11" t="str">
        <f aca="false">IF(D11="","",IF(D11&gt;=Summary!$B$7,"Above","Below"))</f>
        <v/>
      </c>
    </row>
    <row r="12" customFormat="false" ht="15" hidden="false" customHeight="false" outlineLevel="0" collapsed="false">
      <c r="A12" s="20"/>
      <c r="B12" s="19"/>
      <c r="C12" s="20"/>
      <c r="D12" s="12" t="str">
        <f aca="false">IF(OR(B12="",C12=""),"",B12*IF(C12="ng/L",0.001,IF(C12="mg/L",1000,IF(OR(C12="µg/L",C12="ug/L"),1,NA()))))</f>
        <v/>
      </c>
      <c r="E12" s="13" t="str">
        <f aca="false">IF(D12="","",D12/1000)</f>
        <v/>
      </c>
      <c r="F12" s="22" t="str">
        <f aca="false">IF(D12="","",D12/Summary!$B$6)</f>
        <v/>
      </c>
      <c r="G12" s="11" t="str">
        <f aca="false">IF(F12="","",IF(F12&lt;0.1,"Low",IF(F12&lt;1,"Medium","High")))</f>
        <v/>
      </c>
      <c r="H12" s="11" t="str">
        <f aca="false">IF(D12="","",IF(D12&gt;=Summary!$B$7,"Above","Below"))</f>
        <v/>
      </c>
    </row>
    <row r="13" customFormat="false" ht="15" hidden="false" customHeight="false" outlineLevel="0" collapsed="false">
      <c r="A13" s="20"/>
      <c r="B13" s="19"/>
      <c r="C13" s="20"/>
      <c r="D13" s="12" t="str">
        <f aca="false">IF(OR(B13="",C13=""),"",B13*IF(C13="ng/L",0.001,IF(C13="mg/L",1000,IF(OR(C13="µg/L",C13="ug/L"),1,NA()))))</f>
        <v/>
      </c>
      <c r="E13" s="13" t="str">
        <f aca="false">IF(D13="","",D13/1000)</f>
        <v/>
      </c>
      <c r="F13" s="22" t="str">
        <f aca="false">IF(D13="","",D13/Summary!$B$6)</f>
        <v/>
      </c>
      <c r="G13" s="11" t="str">
        <f aca="false">IF(F13="","",IF(F13&lt;0.1,"Low",IF(F13&lt;1,"Medium","High")))</f>
        <v/>
      </c>
      <c r="H13" s="11" t="str">
        <f aca="false">IF(D13="","",IF(D13&gt;=Summary!$B$7,"Above","Below"))</f>
        <v/>
      </c>
    </row>
    <row r="14" customFormat="false" ht="15" hidden="false" customHeight="false" outlineLevel="0" collapsed="false">
      <c r="A14" s="20"/>
      <c r="B14" s="19"/>
      <c r="C14" s="20"/>
      <c r="D14" s="12" t="str">
        <f aca="false">IF(OR(B14="",C14=""),"",B14*IF(C14="ng/L",0.001,IF(C14="mg/L",1000,IF(OR(C14="µg/L",C14="ug/L"),1,NA()))))</f>
        <v/>
      </c>
      <c r="E14" s="13" t="str">
        <f aca="false">IF(D14="","",D14/1000)</f>
        <v/>
      </c>
      <c r="F14" s="22" t="str">
        <f aca="false">IF(D14="","",D14/Summary!$B$6)</f>
        <v/>
      </c>
      <c r="G14" s="11" t="str">
        <f aca="false">IF(F14="","",IF(F14&lt;0.1,"Low",IF(F14&lt;1,"Medium","High")))</f>
        <v/>
      </c>
      <c r="H14" s="11" t="str">
        <f aca="false">IF(D14="","",IF(D14&gt;=Summary!$B$7,"Above","Below"))</f>
        <v/>
      </c>
    </row>
    <row r="15" customFormat="false" ht="15" hidden="false" customHeight="false" outlineLevel="0" collapsed="false">
      <c r="A15" s="20"/>
      <c r="B15" s="19"/>
      <c r="C15" s="20"/>
      <c r="D15" s="12" t="str">
        <f aca="false">IF(OR(B15="",C15=""),"",B15*IF(C15="ng/L",0.001,IF(C15="mg/L",1000,IF(OR(C15="µg/L",C15="ug/L"),1,NA()))))</f>
        <v/>
      </c>
      <c r="E15" s="13" t="str">
        <f aca="false">IF(D15="","",D15/1000)</f>
        <v/>
      </c>
      <c r="F15" s="22" t="str">
        <f aca="false">IF(D15="","",D15/Summary!$B$6)</f>
        <v/>
      </c>
      <c r="G15" s="11" t="str">
        <f aca="false">IF(F15="","",IF(F15&lt;0.1,"Low",IF(F15&lt;1,"Medium","High")))</f>
        <v/>
      </c>
      <c r="H15" s="11" t="str">
        <f aca="false">IF(D15="","",IF(D15&gt;=Summary!$B$7,"Above","Below"))</f>
        <v/>
      </c>
    </row>
    <row r="16" customFormat="false" ht="15" hidden="false" customHeight="false" outlineLevel="0" collapsed="false">
      <c r="A16" s="20"/>
      <c r="B16" s="19"/>
      <c r="C16" s="20"/>
      <c r="D16" s="12" t="str">
        <f aca="false">IF(OR(B16="",C16=""),"",B16*IF(C16="ng/L",0.001,IF(C16="mg/L",1000,IF(OR(C16="µg/L",C16="ug/L"),1,NA()))))</f>
        <v/>
      </c>
      <c r="E16" s="13" t="str">
        <f aca="false">IF(D16="","",D16/1000)</f>
        <v/>
      </c>
      <c r="F16" s="22" t="str">
        <f aca="false">IF(D16="","",D16/Summary!$B$6)</f>
        <v/>
      </c>
      <c r="G16" s="11" t="str">
        <f aca="false">IF(F16="","",IF(F16&lt;0.1,"Low",IF(F16&lt;1,"Medium","High")))</f>
        <v/>
      </c>
      <c r="H16" s="11" t="str">
        <f aca="false">IF(D16="","",IF(D16&gt;=Summary!$B$7,"Above","Below"))</f>
        <v/>
      </c>
    </row>
    <row r="17" customFormat="false" ht="15" hidden="false" customHeight="false" outlineLevel="0" collapsed="false">
      <c r="A17" s="20"/>
      <c r="B17" s="19"/>
      <c r="C17" s="20"/>
      <c r="D17" s="12" t="str">
        <f aca="false">IF(OR(B17="",C17=""),"",B17*IF(C17="ng/L",0.001,IF(C17="mg/L",1000,IF(OR(C17="µg/L",C17="ug/L"),1,NA()))))</f>
        <v/>
      </c>
      <c r="E17" s="13" t="str">
        <f aca="false">IF(D17="","",D17/1000)</f>
        <v/>
      </c>
      <c r="F17" s="22" t="str">
        <f aca="false">IF(D17="","",D17/Summary!$B$6)</f>
        <v/>
      </c>
      <c r="G17" s="11" t="str">
        <f aca="false">IF(F17="","",IF(F17&lt;0.1,"Low",IF(F17&lt;1,"Medium","High")))</f>
        <v/>
      </c>
      <c r="H17" s="11" t="str">
        <f aca="false">IF(D17="","",IF(D17&gt;=Summary!$B$7,"Above","Below"))</f>
        <v/>
      </c>
    </row>
    <row r="18" customFormat="false" ht="15" hidden="false" customHeight="false" outlineLevel="0" collapsed="false">
      <c r="A18" s="20"/>
      <c r="B18" s="19"/>
      <c r="C18" s="20"/>
      <c r="D18" s="12" t="str">
        <f aca="false">IF(OR(B18="",C18=""),"",B18*IF(C18="ng/L",0.001,IF(C18="mg/L",1000,IF(OR(C18="µg/L",C18="ug/L"),1,NA()))))</f>
        <v/>
      </c>
      <c r="E18" s="13" t="str">
        <f aca="false">IF(D18="","",D18/1000)</f>
        <v/>
      </c>
      <c r="F18" s="22" t="str">
        <f aca="false">IF(D18="","",D18/Summary!$B$6)</f>
        <v/>
      </c>
      <c r="G18" s="11" t="str">
        <f aca="false">IF(F18="","",IF(F18&lt;0.1,"Low",IF(F18&lt;1,"Medium","High")))</f>
        <v/>
      </c>
      <c r="H18" s="11" t="str">
        <f aca="false">IF(D18="","",IF(D18&gt;=Summary!$B$7,"Above","Below"))</f>
        <v/>
      </c>
    </row>
    <row r="19" customFormat="false" ht="15" hidden="false" customHeight="false" outlineLevel="0" collapsed="false">
      <c r="A19" s="20"/>
      <c r="B19" s="19"/>
      <c r="C19" s="20"/>
      <c r="D19" s="12" t="str">
        <f aca="false">IF(OR(B19="",C19=""),"",B19*IF(C19="ng/L",0.001,IF(C19="mg/L",1000,IF(OR(C19="µg/L",C19="ug/L"),1,NA()))))</f>
        <v/>
      </c>
      <c r="E19" s="13" t="str">
        <f aca="false">IF(D19="","",D19/1000)</f>
        <v/>
      </c>
      <c r="F19" s="22" t="str">
        <f aca="false">IF(D19="","",D19/Summary!$B$6)</f>
        <v/>
      </c>
      <c r="G19" s="11" t="str">
        <f aca="false">IF(F19="","",IF(F19&lt;0.1,"Low",IF(F19&lt;1,"Medium","High")))</f>
        <v/>
      </c>
      <c r="H19" s="11" t="str">
        <f aca="false">IF(D19="","",IF(D19&gt;=Summary!$B$7,"Above","Below"))</f>
        <v/>
      </c>
    </row>
    <row r="20" customFormat="false" ht="15" hidden="false" customHeight="false" outlineLevel="0" collapsed="false">
      <c r="A20" s="20"/>
      <c r="B20" s="19"/>
      <c r="C20" s="20"/>
      <c r="D20" s="12" t="str">
        <f aca="false">IF(OR(B20="",C20=""),"",B20*IF(C20="ng/L",0.001,IF(C20="mg/L",1000,IF(OR(C20="µg/L",C20="ug/L"),1,NA()))))</f>
        <v/>
      </c>
      <c r="E20" s="13" t="str">
        <f aca="false">IF(D20="","",D20/1000)</f>
        <v/>
      </c>
      <c r="F20" s="22" t="str">
        <f aca="false">IF(D20="","",D20/Summary!$B$6)</f>
        <v/>
      </c>
      <c r="G20" s="11" t="str">
        <f aca="false">IF(F20="","",IF(F20&lt;0.1,"Low",IF(F20&lt;1,"Medium","High")))</f>
        <v/>
      </c>
      <c r="H20" s="11" t="str">
        <f aca="false">IF(D20="","",IF(D20&gt;=Summary!$B$7,"Above","Below"))</f>
        <v/>
      </c>
    </row>
    <row r="21" customFormat="false" ht="15" hidden="false" customHeight="false" outlineLevel="0" collapsed="false">
      <c r="A21" s="20"/>
      <c r="B21" s="19"/>
      <c r="C21" s="20"/>
      <c r="D21" s="12" t="str">
        <f aca="false">IF(OR(B21="",C21=""),"",B21*IF(C21="ng/L",0.001,IF(C21="mg/L",1000,IF(OR(C21="µg/L",C21="ug/L"),1,NA()))))</f>
        <v/>
      </c>
      <c r="E21" s="13" t="str">
        <f aca="false">IF(D21="","",D21/1000)</f>
        <v/>
      </c>
      <c r="F21" s="22" t="str">
        <f aca="false">IF(D21="","",D21/Summary!$B$6)</f>
        <v/>
      </c>
      <c r="G21" s="11" t="str">
        <f aca="false">IF(F21="","",IF(F21&lt;0.1,"Low",IF(F21&lt;1,"Medium","High")))</f>
        <v/>
      </c>
      <c r="H21" s="11" t="str">
        <f aca="false">IF(D21="","",IF(D21&gt;=Summary!$B$7,"Above","Below"))</f>
        <v/>
      </c>
    </row>
    <row r="22" customFormat="false" ht="15" hidden="false" customHeight="false" outlineLevel="0" collapsed="false">
      <c r="A22" s="20"/>
      <c r="B22" s="19"/>
      <c r="C22" s="20"/>
      <c r="D22" s="12" t="str">
        <f aca="false">IF(OR(B22="",C22=""),"",B22*IF(C22="ng/L",0.001,IF(C22="mg/L",1000,IF(OR(C22="µg/L",C22="ug/L"),1,NA()))))</f>
        <v/>
      </c>
      <c r="E22" s="13" t="str">
        <f aca="false">IF(D22="","",D22/1000)</f>
        <v/>
      </c>
      <c r="F22" s="22" t="str">
        <f aca="false">IF(D22="","",D22/Summary!$B$6)</f>
        <v/>
      </c>
      <c r="G22" s="11" t="str">
        <f aca="false">IF(F22="","",IF(F22&lt;0.1,"Low",IF(F22&lt;1,"Medium","High")))</f>
        <v/>
      </c>
      <c r="H22" s="11" t="str">
        <f aca="false">IF(D22="","",IF(D22&gt;=Summary!$B$7,"Above","Below"))</f>
        <v/>
      </c>
    </row>
    <row r="23" customFormat="false" ht="15" hidden="false" customHeight="false" outlineLevel="0" collapsed="false">
      <c r="A23" s="20"/>
      <c r="B23" s="19"/>
      <c r="C23" s="20"/>
      <c r="D23" s="12" t="str">
        <f aca="false">IF(OR(B23="",C23=""),"",B23*IF(C23="ng/L",0.001,IF(C23="mg/L",1000,IF(OR(C23="µg/L",C23="ug/L"),1,NA()))))</f>
        <v/>
      </c>
      <c r="E23" s="13" t="str">
        <f aca="false">IF(D23="","",D23/1000)</f>
        <v/>
      </c>
      <c r="F23" s="22" t="str">
        <f aca="false">IF(D23="","",D23/Summary!$B$6)</f>
        <v/>
      </c>
      <c r="G23" s="11" t="str">
        <f aca="false">IF(F23="","",IF(F23&lt;0.1,"Low",IF(F23&lt;1,"Medium","High")))</f>
        <v/>
      </c>
      <c r="H23" s="11" t="str">
        <f aca="false">IF(D23="","",IF(D23&gt;=Summary!$B$7,"Above","Below"))</f>
        <v/>
      </c>
    </row>
    <row r="24" customFormat="false" ht="15" hidden="false" customHeight="false" outlineLevel="0" collapsed="false">
      <c r="A24" s="20"/>
      <c r="B24" s="19"/>
      <c r="C24" s="20"/>
      <c r="D24" s="12" t="str">
        <f aca="false">IF(OR(B24="",C24=""),"",B24*IF(C24="ng/L",0.001,IF(C24="mg/L",1000,IF(OR(C24="µg/L",C24="ug/L"),1,NA()))))</f>
        <v/>
      </c>
      <c r="E24" s="13" t="str">
        <f aca="false">IF(D24="","",D24/1000)</f>
        <v/>
      </c>
      <c r="F24" s="22" t="str">
        <f aca="false">IF(D24="","",D24/Summary!$B$6)</f>
        <v/>
      </c>
      <c r="G24" s="11" t="str">
        <f aca="false">IF(F24="","",IF(F24&lt;0.1,"Low",IF(F24&lt;1,"Medium","High")))</f>
        <v/>
      </c>
      <c r="H24" s="11" t="str">
        <f aca="false">IF(D24="","",IF(D24&gt;=Summary!$B$7,"Above","Below"))</f>
        <v/>
      </c>
    </row>
    <row r="25" customFormat="false" ht="15" hidden="false" customHeight="false" outlineLevel="0" collapsed="false">
      <c r="A25" s="20"/>
      <c r="B25" s="19"/>
      <c r="C25" s="20"/>
      <c r="D25" s="12" t="str">
        <f aca="false">IF(OR(B25="",C25=""),"",B25*IF(C25="ng/L",0.001,IF(C25="mg/L",1000,IF(OR(C25="µg/L",C25="ug/L"),1,NA()))))</f>
        <v/>
      </c>
      <c r="E25" s="13" t="str">
        <f aca="false">IF(D25="","",D25/1000)</f>
        <v/>
      </c>
      <c r="F25" s="22" t="str">
        <f aca="false">IF(D25="","",D25/Summary!$B$6)</f>
        <v/>
      </c>
      <c r="G25" s="11" t="str">
        <f aca="false">IF(F25="","",IF(F25&lt;0.1,"Low",IF(F25&lt;1,"Medium","High")))</f>
        <v/>
      </c>
      <c r="H25" s="11" t="str">
        <f aca="false">IF(D25="","",IF(D25&gt;=Summary!$B$7,"Above","Below"))</f>
        <v/>
      </c>
    </row>
    <row r="26" customFormat="false" ht="15" hidden="false" customHeight="false" outlineLevel="0" collapsed="false">
      <c r="A26" s="20"/>
      <c r="B26" s="19"/>
      <c r="C26" s="20"/>
      <c r="D26" s="12" t="str">
        <f aca="false">IF(OR(B26="",C26=""),"",B26*IF(C26="ng/L",0.001,IF(C26="mg/L",1000,IF(OR(C26="µg/L",C26="ug/L"),1,NA()))))</f>
        <v/>
      </c>
      <c r="E26" s="13" t="str">
        <f aca="false">IF(D26="","",D26/1000)</f>
        <v/>
      </c>
      <c r="F26" s="22" t="str">
        <f aca="false">IF(D26="","",D26/Summary!$B$6)</f>
        <v/>
      </c>
      <c r="G26" s="11" t="str">
        <f aca="false">IF(F26="","",IF(F26&lt;0.1,"Low",IF(F26&lt;1,"Medium","High")))</f>
        <v/>
      </c>
      <c r="H26" s="11" t="str">
        <f aca="false">IF(D26="","",IF(D26&gt;=Summary!$B$7,"Above","Below"))</f>
        <v/>
      </c>
    </row>
    <row r="27" customFormat="false" ht="15" hidden="false" customHeight="false" outlineLevel="0" collapsed="false">
      <c r="A27" s="20"/>
      <c r="B27" s="19"/>
      <c r="C27" s="20"/>
      <c r="D27" s="12" t="str">
        <f aca="false">IF(OR(B27="",C27=""),"",B27*IF(C27="ng/L",0.001,IF(C27="mg/L",1000,IF(OR(C27="µg/L",C27="ug/L"),1,NA()))))</f>
        <v/>
      </c>
      <c r="E27" s="13" t="str">
        <f aca="false">IF(D27="","",D27/1000)</f>
        <v/>
      </c>
      <c r="F27" s="22" t="str">
        <f aca="false">IF(D27="","",D27/Summary!$B$6)</f>
        <v/>
      </c>
      <c r="G27" s="11" t="str">
        <f aca="false">IF(F27="","",IF(F27&lt;0.1,"Low",IF(F27&lt;1,"Medium","High")))</f>
        <v/>
      </c>
      <c r="H27" s="11" t="str">
        <f aca="false">IF(D27="","",IF(D27&gt;=Summary!$B$7,"Above","Below"))</f>
        <v/>
      </c>
    </row>
    <row r="28" customFormat="false" ht="15" hidden="false" customHeight="false" outlineLevel="0" collapsed="false">
      <c r="A28" s="20"/>
      <c r="B28" s="19"/>
      <c r="C28" s="20"/>
      <c r="D28" s="12" t="str">
        <f aca="false">IF(OR(B28="",C28=""),"",B28*IF(C28="ng/L",0.001,IF(C28="mg/L",1000,IF(OR(C28="µg/L",C28="ug/L"),1,NA()))))</f>
        <v/>
      </c>
      <c r="E28" s="13" t="str">
        <f aca="false">IF(D28="","",D28/1000)</f>
        <v/>
      </c>
      <c r="F28" s="22" t="str">
        <f aca="false">IF(D28="","",D28/Summary!$B$6)</f>
        <v/>
      </c>
      <c r="G28" s="11" t="str">
        <f aca="false">IF(F28="","",IF(F28&lt;0.1,"Low",IF(F28&lt;1,"Medium","High")))</f>
        <v/>
      </c>
      <c r="H28" s="11" t="str">
        <f aca="false">IF(D28="","",IF(D28&gt;=Summary!$B$7,"Above","Below"))</f>
        <v/>
      </c>
    </row>
    <row r="29" customFormat="false" ht="15" hidden="false" customHeight="false" outlineLevel="0" collapsed="false">
      <c r="A29" s="20"/>
      <c r="B29" s="19"/>
      <c r="C29" s="20"/>
      <c r="D29" s="12" t="str">
        <f aca="false">IF(OR(B29="",C29=""),"",B29*IF(C29="ng/L",0.001,IF(C29="mg/L",1000,IF(OR(C29="µg/L",C29="ug/L"),1,NA()))))</f>
        <v/>
      </c>
      <c r="E29" s="13" t="str">
        <f aca="false">IF(D29="","",D29/1000)</f>
        <v/>
      </c>
      <c r="F29" s="22" t="str">
        <f aca="false">IF(D29="","",D29/Summary!$B$6)</f>
        <v/>
      </c>
      <c r="G29" s="11" t="str">
        <f aca="false">IF(F29="","",IF(F29&lt;0.1,"Low",IF(F29&lt;1,"Medium","High")))</f>
        <v/>
      </c>
      <c r="H29" s="11" t="str">
        <f aca="false">IF(D29="","",IF(D29&gt;=Summary!$B$7,"Above","Below"))</f>
        <v/>
      </c>
    </row>
    <row r="30" customFormat="false" ht="15" hidden="false" customHeight="false" outlineLevel="0" collapsed="false">
      <c r="A30" s="20"/>
      <c r="B30" s="19"/>
      <c r="C30" s="20"/>
      <c r="D30" s="12" t="str">
        <f aca="false">IF(OR(B30="",C30=""),"",B30*IF(C30="ng/L",0.001,IF(C30="mg/L",1000,IF(OR(C30="µg/L",C30="ug/L"),1,NA()))))</f>
        <v/>
      </c>
      <c r="E30" s="13" t="str">
        <f aca="false">IF(D30="","",D30/1000)</f>
        <v/>
      </c>
      <c r="F30" s="22" t="str">
        <f aca="false">IF(D30="","",D30/Summary!$B$6)</f>
        <v/>
      </c>
      <c r="G30" s="11" t="str">
        <f aca="false">IF(F30="","",IF(F30&lt;0.1,"Low",IF(F30&lt;1,"Medium","High")))</f>
        <v/>
      </c>
      <c r="H30" s="11" t="str">
        <f aca="false">IF(D30="","",IF(D30&gt;=Summary!$B$7,"Above","Below"))</f>
        <v/>
      </c>
    </row>
    <row r="31" customFormat="false" ht="15" hidden="false" customHeight="false" outlineLevel="0" collapsed="false">
      <c r="A31" s="20"/>
      <c r="B31" s="19"/>
      <c r="C31" s="20"/>
      <c r="D31" s="12" t="str">
        <f aca="false">IF(OR(B31="",C31=""),"",B31*IF(C31="ng/L",0.001,IF(C31="mg/L",1000,IF(OR(C31="µg/L",C31="ug/L"),1,NA()))))</f>
        <v/>
      </c>
      <c r="E31" s="13" t="str">
        <f aca="false">IF(D31="","",D31/1000)</f>
        <v/>
      </c>
      <c r="F31" s="22" t="str">
        <f aca="false">IF(D31="","",D31/Summary!$B$6)</f>
        <v/>
      </c>
      <c r="G31" s="11" t="str">
        <f aca="false">IF(F31="","",IF(F31&lt;0.1,"Low",IF(F31&lt;1,"Medium","High")))</f>
        <v/>
      </c>
      <c r="H31" s="11" t="str">
        <f aca="false">IF(D31="","",IF(D31&gt;=Summary!$B$7,"Above","Below"))</f>
        <v/>
      </c>
    </row>
    <row r="32" customFormat="false" ht="15" hidden="false" customHeight="false" outlineLevel="0" collapsed="false">
      <c r="A32" s="20"/>
      <c r="B32" s="19"/>
      <c r="C32" s="20"/>
      <c r="D32" s="12" t="str">
        <f aca="false">IF(OR(B32="",C32=""),"",B32*IF(C32="ng/L",0.001,IF(C32="mg/L",1000,IF(OR(C32="µg/L",C32="ug/L"),1,NA()))))</f>
        <v/>
      </c>
      <c r="E32" s="13" t="str">
        <f aca="false">IF(D32="","",D32/1000)</f>
        <v/>
      </c>
      <c r="F32" s="22" t="str">
        <f aca="false">IF(D32="","",D32/Summary!$B$6)</f>
        <v/>
      </c>
      <c r="G32" s="11" t="str">
        <f aca="false">IF(F32="","",IF(F32&lt;0.1,"Low",IF(F32&lt;1,"Medium","High")))</f>
        <v/>
      </c>
      <c r="H32" s="11" t="str">
        <f aca="false">IF(D32="","",IF(D32&gt;=Summary!$B$7,"Above","Below"))</f>
        <v/>
      </c>
    </row>
    <row r="33" customFormat="false" ht="15" hidden="false" customHeight="false" outlineLevel="0" collapsed="false">
      <c r="A33" s="20"/>
      <c r="B33" s="19"/>
      <c r="C33" s="20"/>
      <c r="D33" s="12" t="str">
        <f aca="false">IF(OR(B33="",C33=""),"",B33*IF(C33="ng/L",0.001,IF(C33="mg/L",1000,IF(OR(C33="µg/L",C33="ug/L"),1,NA()))))</f>
        <v/>
      </c>
      <c r="E33" s="13" t="str">
        <f aca="false">IF(D33="","",D33/1000)</f>
        <v/>
      </c>
      <c r="F33" s="22" t="str">
        <f aca="false">IF(D33="","",D33/Summary!$B$6)</f>
        <v/>
      </c>
      <c r="G33" s="11" t="str">
        <f aca="false">IF(F33="","",IF(F33&lt;0.1,"Low",IF(F33&lt;1,"Medium","High")))</f>
        <v/>
      </c>
      <c r="H33" s="11" t="str">
        <f aca="false">IF(D33="","",IF(D33&gt;=Summary!$B$7,"Above","Below"))</f>
        <v/>
      </c>
    </row>
    <row r="34" customFormat="false" ht="15" hidden="false" customHeight="false" outlineLevel="0" collapsed="false">
      <c r="A34" s="20"/>
      <c r="B34" s="19"/>
      <c r="C34" s="20"/>
      <c r="D34" s="12" t="str">
        <f aca="false">IF(OR(B34="",C34=""),"",B34*IF(C34="ng/L",0.001,IF(C34="mg/L",1000,IF(OR(C34="µg/L",C34="ug/L"),1,NA()))))</f>
        <v/>
      </c>
      <c r="E34" s="13" t="str">
        <f aca="false">IF(D34="","",D34/1000)</f>
        <v/>
      </c>
      <c r="F34" s="22" t="str">
        <f aca="false">IF(D34="","",D34/Summary!$B$6)</f>
        <v/>
      </c>
      <c r="G34" s="11" t="str">
        <f aca="false">IF(F34="","",IF(F34&lt;0.1,"Low",IF(F34&lt;1,"Medium","High")))</f>
        <v/>
      </c>
      <c r="H34" s="11" t="str">
        <f aca="false">IF(D34="","",IF(D34&gt;=Summary!$B$7,"Above","Below"))</f>
        <v/>
      </c>
    </row>
    <row r="35" customFormat="false" ht="15" hidden="false" customHeight="false" outlineLevel="0" collapsed="false">
      <c r="A35" s="20"/>
      <c r="B35" s="19"/>
      <c r="C35" s="20"/>
      <c r="D35" s="12" t="str">
        <f aca="false">IF(OR(B35="",C35=""),"",B35*IF(C35="ng/L",0.001,IF(C35="mg/L",1000,IF(OR(C35="µg/L",C35="ug/L"),1,NA()))))</f>
        <v/>
      </c>
      <c r="E35" s="13" t="str">
        <f aca="false">IF(D35="","",D35/1000)</f>
        <v/>
      </c>
      <c r="F35" s="22" t="str">
        <f aca="false">IF(D35="","",D35/Summary!$B$6)</f>
        <v/>
      </c>
      <c r="G35" s="11" t="str">
        <f aca="false">IF(F35="","",IF(F35&lt;0.1,"Low",IF(F35&lt;1,"Medium","High")))</f>
        <v/>
      </c>
      <c r="H35" s="11" t="str">
        <f aca="false">IF(D35="","",IF(D35&gt;=Summary!$B$7,"Above","Below"))</f>
        <v/>
      </c>
    </row>
    <row r="36" customFormat="false" ht="15" hidden="false" customHeight="false" outlineLevel="0" collapsed="false">
      <c r="A36" s="20"/>
      <c r="B36" s="19"/>
      <c r="C36" s="20"/>
      <c r="D36" s="12" t="str">
        <f aca="false">IF(OR(B36="",C36=""),"",B36*IF(C36="ng/L",0.001,IF(C36="mg/L",1000,IF(OR(C36="µg/L",C36="ug/L"),1,NA()))))</f>
        <v/>
      </c>
      <c r="E36" s="13" t="str">
        <f aca="false">IF(D36="","",D36/1000)</f>
        <v/>
      </c>
      <c r="F36" s="22" t="str">
        <f aca="false">IF(D36="","",D36/Summary!$B$6)</f>
        <v/>
      </c>
      <c r="G36" s="11" t="str">
        <f aca="false">IF(F36="","",IF(F36&lt;0.1,"Low",IF(F36&lt;1,"Medium","High")))</f>
        <v/>
      </c>
      <c r="H36" s="11" t="str">
        <f aca="false">IF(D36="","",IF(D36&gt;=Summary!$B$7,"Above","Below"))</f>
        <v/>
      </c>
    </row>
    <row r="37" customFormat="false" ht="15" hidden="false" customHeight="false" outlineLevel="0" collapsed="false">
      <c r="A37" s="20"/>
      <c r="B37" s="19"/>
      <c r="C37" s="20"/>
      <c r="D37" s="12" t="str">
        <f aca="false">IF(OR(B37="",C37=""),"",B37*IF(C37="ng/L",0.001,IF(C37="mg/L",1000,IF(OR(C37="µg/L",C37="ug/L"),1,NA()))))</f>
        <v/>
      </c>
      <c r="E37" s="13" t="str">
        <f aca="false">IF(D37="","",D37/1000)</f>
        <v/>
      </c>
      <c r="F37" s="22" t="str">
        <f aca="false">IF(D37="","",D37/Summary!$B$6)</f>
        <v/>
      </c>
      <c r="G37" s="11" t="str">
        <f aca="false">IF(F37="","",IF(F37&lt;0.1,"Low",IF(F37&lt;1,"Medium","High")))</f>
        <v/>
      </c>
      <c r="H37" s="11" t="str">
        <f aca="false">IF(D37="","",IF(D37&gt;=Summary!$B$7,"Above","Below"))</f>
        <v/>
      </c>
    </row>
    <row r="38" customFormat="false" ht="15" hidden="false" customHeight="false" outlineLevel="0" collapsed="false">
      <c r="A38" s="20"/>
      <c r="B38" s="19"/>
      <c r="C38" s="20"/>
      <c r="D38" s="12" t="str">
        <f aca="false">IF(OR(B38="",C38=""),"",B38*IF(C38="ng/L",0.001,IF(C38="mg/L",1000,IF(OR(C38="µg/L",C38="ug/L"),1,NA()))))</f>
        <v/>
      </c>
      <c r="E38" s="13" t="str">
        <f aca="false">IF(D38="","",D38/1000)</f>
        <v/>
      </c>
      <c r="F38" s="22" t="str">
        <f aca="false">IF(D38="","",D38/Summary!$B$6)</f>
        <v/>
      </c>
      <c r="G38" s="11" t="str">
        <f aca="false">IF(F38="","",IF(F38&lt;0.1,"Low",IF(F38&lt;1,"Medium","High")))</f>
        <v/>
      </c>
      <c r="H38" s="11" t="str">
        <f aca="false">IF(D38="","",IF(D38&gt;=Summary!$B$7,"Above","Below"))</f>
        <v/>
      </c>
    </row>
    <row r="39" customFormat="false" ht="15" hidden="false" customHeight="false" outlineLevel="0" collapsed="false">
      <c r="A39" s="20"/>
      <c r="B39" s="19"/>
      <c r="C39" s="20"/>
      <c r="D39" s="12" t="str">
        <f aca="false">IF(OR(B39="",C39=""),"",B39*IF(C39="ng/L",0.001,IF(C39="mg/L",1000,IF(OR(C39="µg/L",C39="ug/L"),1,NA()))))</f>
        <v/>
      </c>
      <c r="E39" s="13" t="str">
        <f aca="false">IF(D39="","",D39/1000)</f>
        <v/>
      </c>
      <c r="F39" s="22" t="str">
        <f aca="false">IF(D39="","",D39/Summary!$B$6)</f>
        <v/>
      </c>
      <c r="G39" s="11" t="str">
        <f aca="false">IF(F39="","",IF(F39&lt;0.1,"Low",IF(F39&lt;1,"Medium","High")))</f>
        <v/>
      </c>
      <c r="H39" s="11" t="str">
        <f aca="false">IF(D39="","",IF(D39&gt;=Summary!$B$7,"Above","Below"))</f>
        <v/>
      </c>
    </row>
    <row r="40" customFormat="false" ht="15" hidden="false" customHeight="false" outlineLevel="0" collapsed="false">
      <c r="A40" s="20"/>
      <c r="B40" s="19"/>
      <c r="C40" s="20"/>
      <c r="D40" s="12" t="str">
        <f aca="false">IF(OR(B40="",C40=""),"",B40*IF(C40="ng/L",0.001,IF(C40="mg/L",1000,IF(OR(C40="µg/L",C40="ug/L"),1,NA()))))</f>
        <v/>
      </c>
      <c r="E40" s="13" t="str">
        <f aca="false">IF(D40="","",D40/1000)</f>
        <v/>
      </c>
      <c r="F40" s="22" t="str">
        <f aca="false">IF(D40="","",D40/Summary!$B$6)</f>
        <v/>
      </c>
      <c r="G40" s="11" t="str">
        <f aca="false">IF(F40="","",IF(F40&lt;0.1,"Low",IF(F40&lt;1,"Medium","High")))</f>
        <v/>
      </c>
      <c r="H40" s="11" t="str">
        <f aca="false">IF(D40="","",IF(D40&gt;=Summary!$B$7,"Above","Below"))</f>
        <v/>
      </c>
    </row>
  </sheetData>
  <conditionalFormatting sqref="G6:G40">
    <cfRule type="expression" priority="2" aboveAverage="0" equalAverage="0" bottom="0" percent="0" rank="0" text="" dxfId="0">
      <formula>$G6="Low"</formula>
    </cfRule>
    <cfRule type="expression" priority="3" aboveAverage="0" equalAverage="0" bottom="0" percent="0" rank="0" text="" dxfId="1">
      <formula>$G6="Medium"</formula>
    </cfRule>
    <cfRule type="expression" priority="4" aboveAverage="0" equalAverage="0" bottom="0" percent="0" rank="0" text="" dxfId="2">
      <formula>$G6="High"</formula>
    </cfRule>
  </conditionalFormatting>
  <dataValidations count="1">
    <dataValidation allowBlank="true" errorStyle="stop" operator="between" showDropDown="false" showErrorMessage="false" showInputMessage="false" sqref="C6:C40" type="list">
      <formula1>"ng/L,µg/L,ug/L,mg/L"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8"/>
    <col collapsed="false" customWidth="true" hidden="false" outlineLevel="0" max="4" min="4" style="0" width="10"/>
    <col collapsed="false" customWidth="true" hidden="false" outlineLevel="0" max="5" min="5" style="0" width="11"/>
    <col collapsed="false" customWidth="true" hidden="false" outlineLevel="0" max="6" min="6" style="0" width="9"/>
    <col collapsed="false" customWidth="true" hidden="false" outlineLevel="0" max="7" min="7" style="0" width="10"/>
    <col collapsed="false" customWidth="true" hidden="false" outlineLevel="0" max="8" min="8" style="0" width="30"/>
    <col collapsed="false" customWidth="true" hidden="false" outlineLevel="0" max="9" min="9" style="0" width="16"/>
    <col collapsed="false" customWidth="true" hidden="false" outlineLevel="0" max="10" min="10" style="0" width="52"/>
    <col collapsed="false" customWidth="true" hidden="false" outlineLevel="0" max="11" min="11" style="0" width="26"/>
  </cols>
  <sheetData>
    <row r="1" customFormat="false" ht="16.15" hidden="false" customHeight="false" outlineLevel="0" collapsed="false">
      <c r="A1" s="18" t="s">
        <v>185</v>
      </c>
    </row>
    <row r="2" customFormat="false" ht="15" hidden="false" customHeight="false" outlineLevel="0" collapsed="false">
      <c r="A2" s="2" t="s">
        <v>186</v>
      </c>
    </row>
    <row r="4" customFormat="false" ht="23.85" hidden="false" customHeight="false" outlineLevel="0" collapsed="false">
      <c r="A4" s="9" t="s">
        <v>187</v>
      </c>
      <c r="B4" s="9" t="s">
        <v>188</v>
      </c>
      <c r="C4" s="9" t="s">
        <v>189</v>
      </c>
      <c r="D4" s="9" t="s">
        <v>190</v>
      </c>
      <c r="E4" s="9" t="s">
        <v>191</v>
      </c>
      <c r="F4" s="9" t="s">
        <v>192</v>
      </c>
      <c r="G4" s="9" t="s">
        <v>193</v>
      </c>
      <c r="H4" s="9" t="s">
        <v>194</v>
      </c>
      <c r="I4" s="9" t="s">
        <v>195</v>
      </c>
      <c r="J4" s="9" t="s">
        <v>196</v>
      </c>
      <c r="K4" s="9" t="s">
        <v>197</v>
      </c>
    </row>
    <row r="5" customFormat="false" ht="23.85" hidden="false" customHeight="false" outlineLevel="0" collapsed="false">
      <c r="A5" s="10" t="s">
        <v>198</v>
      </c>
      <c r="B5" s="24" t="n">
        <v>0.15</v>
      </c>
      <c r="C5" s="20" t="s">
        <v>82</v>
      </c>
      <c r="D5" s="12" t="n">
        <f aca="false">IF(OR(B5="",ISTEXT(B5)),"",B5*IF(C5="ng/L",0.001,IF(C5="mg/L",1000,1)))</f>
        <v>150</v>
      </c>
      <c r="E5" s="13" t="n">
        <f aca="false">Summary!$B$6/1000</f>
        <v>0.01</v>
      </c>
      <c r="F5" s="20" t="s">
        <v>82</v>
      </c>
      <c r="G5" s="12" t="n">
        <f aca="false">IF(OR(E5="",ISTEXT(E5)),"",E5*IF(F5="ng/L",0.001,IF(F5="mg/L",1000,1)))</f>
        <v>10</v>
      </c>
      <c r="H5" s="11" t="str">
        <f aca="false">ROUND(D5/Summary!$B$6,1)&amp;"× the chosen PNEC"</f>
        <v>15× the chosen PNEC</v>
      </c>
      <c r="I5" s="10" t="s">
        <v>199</v>
      </c>
      <c r="J5" s="11" t="s">
        <v>200</v>
      </c>
      <c r="K5" s="11" t="s">
        <v>201</v>
      </c>
    </row>
    <row r="6" customFormat="false" ht="23.85" hidden="false" customHeight="false" outlineLevel="0" collapsed="false">
      <c r="A6" s="10" t="s">
        <v>202</v>
      </c>
      <c r="B6" s="24" t="s">
        <v>203</v>
      </c>
      <c r="C6" s="20"/>
      <c r="D6" s="12" t="str">
        <f aca="false">IF(OR(B6="",ISTEXT(B6)),"",B6*IF(C6="ng/L",0.001,IF(C6="mg/L",1000,1)))</f>
        <v/>
      </c>
      <c r="E6" s="13" t="n">
        <f aca="false">Summary!$B$6/1000</f>
        <v>0.01</v>
      </c>
      <c r="F6" s="20" t="s">
        <v>82</v>
      </c>
      <c r="G6" s="12" t="n">
        <f aca="false">IF(OR(E6="",ISTEXT(E6)),"",E6*IF(F6="ng/L",0.001,IF(F6="mg/L",1000,1)))</f>
        <v>10</v>
      </c>
      <c r="H6" s="11" t="s">
        <v>204</v>
      </c>
      <c r="I6" s="10" t="s">
        <v>205</v>
      </c>
      <c r="J6" s="11" t="s">
        <v>206</v>
      </c>
      <c r="K6" s="11" t="s">
        <v>207</v>
      </c>
    </row>
    <row r="7" customFormat="false" ht="23.85" hidden="false" customHeight="false" outlineLevel="0" collapsed="false">
      <c r="A7" s="10" t="s">
        <v>208</v>
      </c>
      <c r="B7" s="24" t="n">
        <v>0.012</v>
      </c>
      <c r="C7" s="20" t="s">
        <v>82</v>
      </c>
      <c r="D7" s="12" t="n">
        <f aca="false">IF(OR(B7="",ISTEXT(B7)),"",B7*IF(C7="ng/L",0.001,IF(C7="mg/L",1000,1)))</f>
        <v>12</v>
      </c>
      <c r="E7" s="13" t="n">
        <f aca="false">Measured_Levels!$G$5/1000</f>
        <v>4.2E-005</v>
      </c>
      <c r="F7" s="20" t="s">
        <v>82</v>
      </c>
      <c r="G7" s="12" t="n">
        <f aca="false">IF(OR(E7="",ISTEXT(E7)),"",E7*IF(F7="ng/L",0.001,IF(F7="mg/L",1000,1)))</f>
        <v>0.042</v>
      </c>
      <c r="H7" s="11" t="str">
        <f aca="false">ROUND(D7/G7,0)&amp;"× typical clean-river level"&amp;IF(D7&gt;=Summary!$B$6,"; already at or above the PNEC","")</f>
        <v>286× typical clean-river level; already at or above the PNEC</v>
      </c>
      <c r="I7" s="10" t="s">
        <v>199</v>
      </c>
      <c r="J7" s="11" t="s">
        <v>209</v>
      </c>
      <c r="K7" s="11" t="s">
        <v>210</v>
      </c>
    </row>
    <row r="8" customFormat="false" ht="35.05" hidden="false" customHeight="false" outlineLevel="0" collapsed="false">
      <c r="A8" s="10" t="s">
        <v>211</v>
      </c>
      <c r="B8" s="24" t="n">
        <v>0.38</v>
      </c>
      <c r="C8" s="20" t="s">
        <v>82</v>
      </c>
      <c r="D8" s="12" t="n">
        <f aca="false">IF(OR(B8="",ISTEXT(B8)),"",B8*IF(C8="ng/L",0.001,IF(C8="mg/L",1000,1)))</f>
        <v>380</v>
      </c>
      <c r="E8" s="13" t="n">
        <f aca="false">B8</f>
        <v>0.38</v>
      </c>
      <c r="F8" s="11" t="str">
        <f aca="false">C8</f>
        <v>mg/L</v>
      </c>
      <c r="G8" s="12" t="n">
        <f aca="false">IF(OR(E8="",ISTEXT(E8)),"",E8*IF(F8="ng/L",0.001,IF(F8="mg/L",1000,1)))</f>
        <v>380</v>
      </c>
      <c r="H8" s="11" t="str">
        <f aca="false">ROUND(D8/Summary!$B$6,0)&amp;"× the chosen PNEC"</f>
        <v>38× the chosen PNEC</v>
      </c>
      <c r="I8" s="10" t="s">
        <v>212</v>
      </c>
      <c r="J8" s="11" t="s">
        <v>213</v>
      </c>
      <c r="K8" s="11" t="s">
        <v>214</v>
      </c>
    </row>
    <row r="9" customFormat="false" ht="23.85" hidden="false" customHeight="false" outlineLevel="0" collapsed="false">
      <c r="A9" s="10" t="s">
        <v>215</v>
      </c>
      <c r="B9" s="24" t="n">
        <v>0.3</v>
      </c>
      <c r="C9" s="20" t="s">
        <v>82</v>
      </c>
      <c r="D9" s="12" t="n">
        <f aca="false">IF(OR(B9="",ISTEXT(B9)),"",B9*IF(C9="ng/L",0.001,IF(C9="mg/L",1000,1)))</f>
        <v>300</v>
      </c>
      <c r="E9" s="13" t="n">
        <f aca="false">B9</f>
        <v>0.3</v>
      </c>
      <c r="F9" s="11" t="str">
        <f aca="false">C9</f>
        <v>mg/L</v>
      </c>
      <c r="G9" s="12" t="n">
        <f aca="false">IF(OR(E9="",ISTEXT(E9)),"",E9*IF(F9="ng/L",0.001,IF(F9="mg/L",1000,1)))</f>
        <v>300</v>
      </c>
      <c r="H9" s="11" t="str">
        <f aca="false">ROUND(D9/Summary!$B$6,0)&amp;"× the chosen PNEC"</f>
        <v>30× the chosen PNEC</v>
      </c>
      <c r="I9" s="10" t="s">
        <v>212</v>
      </c>
      <c r="J9" s="11" t="s">
        <v>216</v>
      </c>
      <c r="K9" s="11" t="s">
        <v>214</v>
      </c>
    </row>
    <row r="10" customFormat="false" ht="23.85" hidden="false" customHeight="false" outlineLevel="0" collapsed="false">
      <c r="A10" s="10" t="s">
        <v>217</v>
      </c>
      <c r="B10" s="24" t="n">
        <v>0.16</v>
      </c>
      <c r="C10" s="20" t="s">
        <v>82</v>
      </c>
      <c r="D10" s="12" t="n">
        <f aca="false">IF(OR(B10="",ISTEXT(B10)),"",B10*IF(C10="ng/L",0.001,IF(C10="mg/L",1000,1)))</f>
        <v>160</v>
      </c>
      <c r="E10" s="13" t="n">
        <f aca="false">B10</f>
        <v>0.16</v>
      </c>
      <c r="F10" s="11" t="str">
        <f aca="false">C10</f>
        <v>mg/L</v>
      </c>
      <c r="G10" s="12" t="n">
        <f aca="false">IF(OR(E10="",ISTEXT(E10)),"",E10*IF(F10="ng/L",0.001,IF(F10="mg/L",1000,1)))</f>
        <v>160</v>
      </c>
      <c r="H10" s="11" t="str">
        <f aca="false">ROUND(D10/Summary!$B$6,0)&amp;"× the chosen PNEC"</f>
        <v>16× the chosen PNEC</v>
      </c>
      <c r="I10" s="10" t="s">
        <v>212</v>
      </c>
      <c r="J10" s="11" t="s">
        <v>218</v>
      </c>
      <c r="K10" s="11" t="s">
        <v>214</v>
      </c>
    </row>
    <row r="11" customFormat="false" ht="35.05" hidden="false" customHeight="false" outlineLevel="0" collapsed="false">
      <c r="A11" s="10" t="s">
        <v>219</v>
      </c>
      <c r="B11" s="24" t="n">
        <v>0.03</v>
      </c>
      <c r="C11" s="20" t="s">
        <v>82</v>
      </c>
      <c r="D11" s="12" t="n">
        <f aca="false">IF(OR(B11="",ISTEXT(B11)),"",B11*IF(C11="ng/L",0.001,IF(C11="mg/L",1000,1)))</f>
        <v>30</v>
      </c>
      <c r="E11" s="24" t="n">
        <v>0.0001</v>
      </c>
      <c r="F11" s="20" t="s">
        <v>82</v>
      </c>
      <c r="G11" s="12" t="n">
        <f aca="false">IF(OR(E11="",ISTEXT(E11)),"",E11*IF(F11="ng/L",0.001,IF(F11="mg/L",1000,1)))</f>
        <v>0.1</v>
      </c>
      <c r="H11" s="11" t="str">
        <f aca="false">ROUND(D11/Summary!$B$6,1)&amp;"× the chosen PNEC"</f>
        <v>3× the chosen PNEC</v>
      </c>
      <c r="I11" s="10" t="s">
        <v>220</v>
      </c>
      <c r="J11" s="11" t="s">
        <v>221</v>
      </c>
      <c r="K11" s="11" t="s">
        <v>214</v>
      </c>
    </row>
    <row r="12" customFormat="false" ht="15" hidden="false" customHeight="false" outlineLevel="0" collapsed="false">
      <c r="A12" s="10" t="s">
        <v>222</v>
      </c>
      <c r="B12" s="24" t="s">
        <v>82</v>
      </c>
      <c r="C12" s="20"/>
      <c r="D12" s="12"/>
      <c r="E12" s="24" t="s">
        <v>31</v>
      </c>
      <c r="F12" s="20"/>
      <c r="G12" s="12"/>
      <c r="H12" s="11" t="s">
        <v>223</v>
      </c>
      <c r="I12" s="10" t="s">
        <v>224</v>
      </c>
      <c r="J12" s="11" t="s">
        <v>225</v>
      </c>
      <c r="K12" s="11" t="s">
        <v>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0" topLeftCell="B21" activePane="bottomRight" state="frozen"/>
      <selection pane="topLeft" activeCell="A1" activeCellId="0" sqref="A1"/>
      <selection pane="topRight" activeCell="B1" activeCellId="0" sqref="B1"/>
      <selection pane="bottomLeft" activeCell="A21" activeCellId="0" sqref="A21"/>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44"/>
    <col collapsed="false" customWidth="true" hidden="false" outlineLevel="0" max="6" min="6" style="0" width="10"/>
    <col collapsed="false" customWidth="true" hidden="false" outlineLevel="0" max="10" min="7" style="0" width="11"/>
    <col collapsed="false" customWidth="true" hidden="false" outlineLevel="0" max="11" min="11" style="0" width="10"/>
    <col collapsed="false" customWidth="true" hidden="false" outlineLevel="0" max="12" min="12" style="0" width="26"/>
  </cols>
  <sheetData>
    <row r="1" customFormat="false" ht="16.15" hidden="false" customHeight="false" outlineLevel="0" collapsed="false">
      <c r="A1" s="18" t="s">
        <v>227</v>
      </c>
    </row>
    <row r="2" customFormat="false" ht="15" hidden="false" customHeight="false" outlineLevel="0" collapsed="false">
      <c r="A2" s="2" t="s">
        <v>228</v>
      </c>
    </row>
    <row r="4" customFormat="false" ht="15" hidden="false" customHeight="false" outlineLevel="0" collapsed="false">
      <c r="A4" s="3" t="s">
        <v>229</v>
      </c>
      <c r="B4" s="4"/>
      <c r="C4" s="4"/>
    </row>
    <row r="5" customFormat="false" ht="15" hidden="false" customHeight="false" outlineLevel="0" collapsed="false">
      <c r="A5" s="16" t="s">
        <v>230</v>
      </c>
      <c r="B5" s="25" t="n">
        <v>1000</v>
      </c>
    </row>
    <row r="6" customFormat="false" ht="15" hidden="false" customHeight="false" outlineLevel="0" collapsed="false">
      <c r="A6" s="16" t="s">
        <v>231</v>
      </c>
      <c r="B6" s="25" t="n">
        <v>100</v>
      </c>
    </row>
    <row r="7" customFormat="false" ht="15" hidden="false" customHeight="false" outlineLevel="0" collapsed="false">
      <c r="A7" s="16" t="s">
        <v>232</v>
      </c>
      <c r="B7" s="26" t="n">
        <v>0.99</v>
      </c>
    </row>
    <row r="8" customFormat="false" ht="15" hidden="false" customHeight="false" outlineLevel="0" collapsed="false">
      <c r="A8" s="5" t="s">
        <v>233</v>
      </c>
      <c r="B8" s="27" t="n">
        <f aca="false">B5*B6/1000/B7</f>
        <v>101.010101010101</v>
      </c>
    </row>
    <row r="9" customFormat="false" ht="15" hidden="false" customHeight="false" outlineLevel="0" collapsed="false">
      <c r="A9" s="16" t="s">
        <v>234</v>
      </c>
      <c r="B9" s="25" t="n">
        <v>10</v>
      </c>
    </row>
    <row r="10" customFormat="false" ht="15" hidden="false" customHeight="false" outlineLevel="0" collapsed="false">
      <c r="A10" s="16" t="s">
        <v>235</v>
      </c>
      <c r="B10" s="25" t="n">
        <v>100</v>
      </c>
    </row>
    <row r="11" customFormat="false" ht="15" hidden="false" customHeight="false" outlineLevel="0" collapsed="false">
      <c r="A11" s="5" t="s">
        <v>236</v>
      </c>
      <c r="B11" s="28" t="n">
        <f aca="false">B9*B10/B5</f>
        <v>1</v>
      </c>
    </row>
    <row r="12" customFormat="false" ht="15" hidden="false" customHeight="false" outlineLevel="0" collapsed="false">
      <c r="A12" s="16" t="s">
        <v>237</v>
      </c>
      <c r="B12" s="25" t="n">
        <v>0.1</v>
      </c>
    </row>
    <row r="13" customFormat="false" ht="15" hidden="false" customHeight="false" outlineLevel="0" collapsed="false">
      <c r="A13" s="16" t="s">
        <v>238</v>
      </c>
      <c r="B13" s="25" t="n">
        <v>100</v>
      </c>
    </row>
    <row r="14" customFormat="false" ht="15" hidden="false" customHeight="false" outlineLevel="0" collapsed="false">
      <c r="A14" s="5" t="s">
        <v>239</v>
      </c>
      <c r="B14" s="28" t="n">
        <f aca="false">B12*B13/B9</f>
        <v>1</v>
      </c>
    </row>
    <row r="15" customFormat="false" ht="15" hidden="false" customHeight="false" outlineLevel="0" collapsed="false">
      <c r="A15" s="16" t="s">
        <v>240</v>
      </c>
      <c r="B15" s="25" t="n">
        <v>50</v>
      </c>
    </row>
    <row r="16" customFormat="false" ht="15" hidden="false" customHeight="false" outlineLevel="0" collapsed="false">
      <c r="A16" s="16" t="s">
        <v>241</v>
      </c>
      <c r="B16" s="25" t="n">
        <v>0.1</v>
      </c>
    </row>
    <row r="17" customFormat="false" ht="15" hidden="false" customHeight="false" outlineLevel="0" collapsed="false">
      <c r="A17" s="16" t="s">
        <v>242</v>
      </c>
      <c r="B17" s="25" t="n">
        <v>3</v>
      </c>
    </row>
    <row r="18" customFormat="false" ht="15" hidden="false" customHeight="false" outlineLevel="0" collapsed="false">
      <c r="A18" s="16" t="s">
        <v>243</v>
      </c>
      <c r="B18" s="25" t="s">
        <v>244</v>
      </c>
    </row>
    <row r="20" customFormat="false" ht="35.05" hidden="false" customHeight="false" outlineLevel="0" collapsed="false">
      <c r="A20" s="9" t="s">
        <v>245</v>
      </c>
      <c r="B20" s="9" t="s">
        <v>246</v>
      </c>
      <c r="C20" s="9" t="s">
        <v>247</v>
      </c>
      <c r="D20" s="9" t="s">
        <v>248</v>
      </c>
      <c r="E20" s="9" t="s">
        <v>249</v>
      </c>
      <c r="F20" s="9" t="s">
        <v>250</v>
      </c>
      <c r="G20" s="9" t="s">
        <v>251</v>
      </c>
      <c r="H20" s="9" t="s">
        <v>252</v>
      </c>
      <c r="I20" s="9" t="s">
        <v>253</v>
      </c>
      <c r="J20" s="9" t="s">
        <v>130</v>
      </c>
      <c r="K20" s="9" t="s">
        <v>131</v>
      </c>
      <c r="L20" s="9" t="s">
        <v>194</v>
      </c>
    </row>
    <row r="21" customFormat="false" ht="15" hidden="false" customHeight="false" outlineLevel="0" collapsed="false">
      <c r="A21" s="10" t="s">
        <v>254</v>
      </c>
      <c r="B21" s="29" t="n">
        <v>0</v>
      </c>
      <c r="C21" s="12" t="n">
        <f aca="false">B21*1000</f>
        <v>0</v>
      </c>
      <c r="D21" s="20" t="s">
        <v>255</v>
      </c>
      <c r="E21" s="20" t="s">
        <v>256</v>
      </c>
      <c r="F21" s="11" t="str">
        <f aca="false">IF(B21=0,"none",IF(B21*$B$15/$B$5&gt;=$B$16,"A",IF(B21*$B$15/$B$9&gt;=$B$16,"B","C")))</f>
        <v>none</v>
      </c>
      <c r="G21" s="30" t="n">
        <f aca="false">IF(F21="A",$B$5,IF(F21="B",$B$9,IF(F21="C",$B$12,0)))</f>
        <v>0</v>
      </c>
      <c r="H21" s="31" t="n">
        <f aca="false">IF(G21=0,0,B21*$B$15/G21)</f>
        <v>0</v>
      </c>
      <c r="I21" s="31" t="n">
        <f aca="false">$B$15-H21</f>
        <v>50</v>
      </c>
      <c r="J21" s="32" t="n">
        <f aca="false">C21/Summary!$B$6</f>
        <v>0</v>
      </c>
      <c r="K21" s="11" t="str">
        <f aca="false">IF(J21&lt;0.1,"Low",IF(J21&lt;1,"Medium","High"))</f>
        <v>Low</v>
      </c>
      <c r="L21" s="11" t="str">
        <f aca="false">IF(AND(H21&gt;0,H21&lt;$B$16),"Volume too small: make a weaker stock",IF(H21&gt;$B$15,"Stock too weak","OK"))</f>
        <v>OK</v>
      </c>
    </row>
    <row r="22" customFormat="false" ht="15" hidden="false" customHeight="false" outlineLevel="0" collapsed="false">
      <c r="A22" s="10" t="s">
        <v>257</v>
      </c>
      <c r="B22" s="29" t="n">
        <v>0.01</v>
      </c>
      <c r="C22" s="12" t="n">
        <f aca="false">B22*1000</f>
        <v>10</v>
      </c>
      <c r="D22" s="20" t="s">
        <v>258</v>
      </c>
      <c r="E22" s="20" t="s">
        <v>259</v>
      </c>
      <c r="F22" s="11" t="str">
        <f aca="false">IF(B22=0,"none",IF(B22*$B$15/$B$5&gt;=$B$16,"A",IF(B22*$B$15/$B$9&gt;=$B$16,"B","C")))</f>
        <v>C</v>
      </c>
      <c r="G22" s="30" t="n">
        <f aca="false">IF(F22="A",$B$5,IF(F22="B",$B$9,IF(F22="C",$B$12,0)))</f>
        <v>0.1</v>
      </c>
      <c r="H22" s="31" t="n">
        <f aca="false">IF(G22=0,0,B22*$B$15/G22)</f>
        <v>5</v>
      </c>
      <c r="I22" s="31" t="n">
        <f aca="false">$B$15-H22</f>
        <v>45</v>
      </c>
      <c r="J22" s="32" t="n">
        <f aca="false">C22/Summary!$B$6</f>
        <v>1</v>
      </c>
      <c r="K22" s="11" t="str">
        <f aca="false">IF(J22&lt;0.1,"Low",IF(J22&lt;1,"Medium","High"))</f>
        <v>High</v>
      </c>
      <c r="L22" s="11" t="str">
        <f aca="false">IF(AND(H22&gt;0,H22&lt;$B$16),"Volume too small: make a weaker stock",IF(H22&gt;$B$15,"Stock too weak","OK"))</f>
        <v>OK</v>
      </c>
    </row>
    <row r="23" customFormat="false" ht="15" hidden="false" customHeight="false" outlineLevel="0" collapsed="false">
      <c r="A23" s="10" t="s">
        <v>260</v>
      </c>
      <c r="B23" s="29" t="n">
        <v>0.05</v>
      </c>
      <c r="C23" s="12" t="n">
        <f aca="false">B23*1000</f>
        <v>50</v>
      </c>
      <c r="D23" s="20" t="s">
        <v>258</v>
      </c>
      <c r="E23" s="20" t="s">
        <v>41</v>
      </c>
      <c r="F23" s="11" t="str">
        <f aca="false">IF(B23=0,"none",IF(B23*$B$15/$B$5&gt;=$B$16,"A",IF(B23*$B$15/$B$9&gt;=$B$16,"B","C")))</f>
        <v>B</v>
      </c>
      <c r="G23" s="30" t="n">
        <f aca="false">IF(F23="A",$B$5,IF(F23="B",$B$9,IF(F23="C",$B$12,0)))</f>
        <v>10</v>
      </c>
      <c r="H23" s="31" t="n">
        <f aca="false">IF(G23=0,0,B23*$B$15/G23)</f>
        <v>0.25</v>
      </c>
      <c r="I23" s="31" t="n">
        <f aca="false">$B$15-H23</f>
        <v>49.75</v>
      </c>
      <c r="J23" s="32" t="n">
        <f aca="false">C23/Summary!$B$6</f>
        <v>5</v>
      </c>
      <c r="K23" s="11" t="str">
        <f aca="false">IF(J23&lt;0.1,"Low",IF(J23&lt;1,"Medium","High"))</f>
        <v>High</v>
      </c>
      <c r="L23" s="11" t="str">
        <f aca="false">IF(AND(H23&gt;0,H23&lt;$B$16),"Volume too small: make a weaker stock",IF(H23&gt;$B$15,"Stock too weak","OK"))</f>
        <v>OK</v>
      </c>
    </row>
    <row r="24" customFormat="false" ht="23.85" hidden="false" customHeight="false" outlineLevel="0" collapsed="false">
      <c r="A24" s="10" t="s">
        <v>261</v>
      </c>
      <c r="B24" s="29" t="n">
        <v>0.1</v>
      </c>
      <c r="C24" s="12" t="n">
        <f aca="false">B24*1000</f>
        <v>100</v>
      </c>
      <c r="D24" s="20" t="s">
        <v>258</v>
      </c>
      <c r="E24" s="20" t="s">
        <v>262</v>
      </c>
      <c r="F24" s="11" t="str">
        <f aca="false">IF(B24=0,"none",IF(B24*$B$15/$B$5&gt;=$B$16,"A",IF(B24*$B$15/$B$9&gt;=$B$16,"B","C")))</f>
        <v>B</v>
      </c>
      <c r="G24" s="30" t="n">
        <f aca="false">IF(F24="A",$B$5,IF(F24="B",$B$9,IF(F24="C",$B$12,0)))</f>
        <v>10</v>
      </c>
      <c r="H24" s="31" t="n">
        <f aca="false">IF(G24=0,0,B24*$B$15/G24)</f>
        <v>0.5</v>
      </c>
      <c r="I24" s="31" t="n">
        <f aca="false">$B$15-H24</f>
        <v>49.5</v>
      </c>
      <c r="J24" s="32" t="n">
        <f aca="false">C24/Summary!$B$6</f>
        <v>10</v>
      </c>
      <c r="K24" s="11" t="str">
        <f aca="false">IF(J24&lt;0.1,"Low",IF(J24&lt;1,"Medium","High"))</f>
        <v>High</v>
      </c>
      <c r="L24" s="11" t="str">
        <f aca="false">IF(AND(H24&gt;0,H24&lt;$B$16),"Volume too small: make a weaker stock",IF(H24&gt;$B$15,"Stock too weak","OK"))</f>
        <v>OK</v>
      </c>
    </row>
    <row r="25" customFormat="false" ht="15" hidden="false" customHeight="false" outlineLevel="0" collapsed="false">
      <c r="A25" s="10" t="s">
        <v>263</v>
      </c>
      <c r="B25" s="29" t="n">
        <v>0.5</v>
      </c>
      <c r="C25" s="12" t="n">
        <f aca="false">B25*1000</f>
        <v>500</v>
      </c>
      <c r="D25" s="20" t="s">
        <v>258</v>
      </c>
      <c r="E25" s="20" t="s">
        <v>264</v>
      </c>
      <c r="F25" s="11" t="str">
        <f aca="false">IF(B25=0,"none",IF(B25*$B$15/$B$5&gt;=$B$16,"A",IF(B25*$B$15/$B$9&gt;=$B$16,"B","C")))</f>
        <v>B</v>
      </c>
      <c r="G25" s="30" t="n">
        <f aca="false">IF(F25="A",$B$5,IF(F25="B",$B$9,IF(F25="C",$B$12,0)))</f>
        <v>10</v>
      </c>
      <c r="H25" s="31" t="n">
        <f aca="false">IF(G25=0,0,B25*$B$15/G25)</f>
        <v>2.5</v>
      </c>
      <c r="I25" s="31" t="n">
        <f aca="false">$B$15-H25</f>
        <v>47.5</v>
      </c>
      <c r="J25" s="32" t="n">
        <f aca="false">C25/Summary!$B$6</f>
        <v>50</v>
      </c>
      <c r="K25" s="11" t="str">
        <f aca="false">IF(J25&lt;0.1,"Low",IF(J25&lt;1,"Medium","High"))</f>
        <v>High</v>
      </c>
      <c r="L25" s="11" t="str">
        <f aca="false">IF(AND(H25&gt;0,H25&lt;$B$16),"Volume too small: make a weaker stock",IF(H25&gt;$B$15,"Stock too weak","OK"))</f>
        <v>OK</v>
      </c>
    </row>
    <row r="26" customFormat="false" ht="15" hidden="false" customHeight="false" outlineLevel="0" collapsed="false">
      <c r="A26" s="10" t="s">
        <v>265</v>
      </c>
      <c r="B26" s="29" t="n">
        <v>1</v>
      </c>
      <c r="C26" s="12" t="n">
        <f aca="false">B26*1000</f>
        <v>1000</v>
      </c>
      <c r="D26" s="20" t="s">
        <v>266</v>
      </c>
      <c r="E26" s="20" t="s">
        <v>267</v>
      </c>
      <c r="F26" s="11" t="str">
        <f aca="false">IF(B26=0,"none",IF(B26*$B$15/$B$5&gt;=$B$16,"A",IF(B26*$B$15/$B$9&gt;=$B$16,"B","C")))</f>
        <v>B</v>
      </c>
      <c r="G26" s="30" t="n">
        <f aca="false">IF(F26="A",$B$5,IF(F26="B",$B$9,IF(F26="C",$B$12,0)))</f>
        <v>10</v>
      </c>
      <c r="H26" s="31" t="n">
        <f aca="false">IF(G26=0,0,B26*$B$15/G26)</f>
        <v>5</v>
      </c>
      <c r="I26" s="31" t="n">
        <f aca="false">$B$15-H26</f>
        <v>45</v>
      </c>
      <c r="J26" s="32" t="n">
        <f aca="false">C26/Summary!$B$6</f>
        <v>100</v>
      </c>
      <c r="K26" s="11" t="str">
        <f aca="false">IF(J26&lt;0.1,"Low",IF(J26&lt;1,"Medium","High"))</f>
        <v>High</v>
      </c>
      <c r="L26" s="11" t="str">
        <f aca="false">IF(AND(H26&gt;0,H26&lt;$B$16),"Volume too small: make a weaker stock",IF(H26&gt;$B$15,"Stock too weak","OK"))</f>
        <v>OK</v>
      </c>
    </row>
    <row r="27" customFormat="false" ht="15" hidden="false" customHeight="false" outlineLevel="0" collapsed="false">
      <c r="A27" s="10" t="s">
        <v>268</v>
      </c>
      <c r="B27" s="29" t="n">
        <v>2</v>
      </c>
      <c r="C27" s="12" t="n">
        <f aca="false">B27*1000</f>
        <v>2000</v>
      </c>
      <c r="D27" s="20" t="s">
        <v>269</v>
      </c>
      <c r="E27" s="20" t="s">
        <v>270</v>
      </c>
      <c r="F27" s="11" t="str">
        <f aca="false">IF(B27=0,"none",IF(B27*$B$15/$B$5&gt;=$B$16,"A",IF(B27*$B$15/$B$9&gt;=$B$16,"B","C")))</f>
        <v>A</v>
      </c>
      <c r="G27" s="30" t="n">
        <f aca="false">IF(F27="A",$B$5,IF(F27="B",$B$9,IF(F27="C",$B$12,0)))</f>
        <v>1000</v>
      </c>
      <c r="H27" s="31" t="n">
        <f aca="false">IF(G27=0,0,B27*$B$15/G27)</f>
        <v>0.1</v>
      </c>
      <c r="I27" s="31" t="n">
        <f aca="false">$B$15-H27</f>
        <v>49.9</v>
      </c>
      <c r="J27" s="32" t="n">
        <f aca="false">C27/Summary!$B$6</f>
        <v>200</v>
      </c>
      <c r="K27" s="11" t="str">
        <f aca="false">IF(J27&lt;0.1,"Low",IF(J27&lt;1,"Medium","High"))</f>
        <v>High</v>
      </c>
      <c r="L27" s="11" t="str">
        <f aca="false">IF(AND(H27&gt;0,H27&lt;$B$16),"Volume too small: make a weaker stock",IF(H27&gt;$B$15,"Stock too weak","OK"))</f>
        <v>OK</v>
      </c>
    </row>
    <row r="28" customFormat="false" ht="15" hidden="false" customHeight="false" outlineLevel="0" collapsed="false">
      <c r="A28" s="10" t="s">
        <v>271</v>
      </c>
      <c r="B28" s="29" t="n">
        <v>5</v>
      </c>
      <c r="C28" s="12" t="n">
        <f aca="false">B28*1000</f>
        <v>5000</v>
      </c>
      <c r="D28" s="20" t="s">
        <v>266</v>
      </c>
      <c r="E28" s="20" t="s">
        <v>272</v>
      </c>
      <c r="F28" s="11" t="str">
        <f aca="false">IF(B28=0,"none",IF(B28*$B$15/$B$5&gt;=$B$16,"A",IF(B28*$B$15/$B$9&gt;=$B$16,"B","C")))</f>
        <v>A</v>
      </c>
      <c r="G28" s="30" t="n">
        <f aca="false">IF(F28="A",$B$5,IF(F28="B",$B$9,IF(F28="C",$B$12,0)))</f>
        <v>1000</v>
      </c>
      <c r="H28" s="31" t="n">
        <f aca="false">IF(G28=0,0,B28*$B$15/G28)</f>
        <v>0.25</v>
      </c>
      <c r="I28" s="31" t="n">
        <f aca="false">$B$15-H28</f>
        <v>49.75</v>
      </c>
      <c r="J28" s="32" t="n">
        <f aca="false">C28/Summary!$B$6</f>
        <v>500</v>
      </c>
      <c r="K28" s="11" t="str">
        <f aca="false">IF(J28&lt;0.1,"Low",IF(J28&lt;1,"Medium","High"))</f>
        <v>High</v>
      </c>
      <c r="L28" s="11" t="str">
        <f aca="false">IF(AND(H28&gt;0,H28&lt;$B$16),"Volume too small: make a weaker stock",IF(H28&gt;$B$15,"Stock too weak","OK"))</f>
        <v>OK</v>
      </c>
    </row>
    <row r="29" customFormat="false" ht="23.85" hidden="false" customHeight="false" outlineLevel="0" collapsed="false">
      <c r="A29" s="10" t="s">
        <v>273</v>
      </c>
      <c r="B29" s="29" t="n">
        <v>10</v>
      </c>
      <c r="C29" s="12" t="n">
        <f aca="false">B29*1000</f>
        <v>10000</v>
      </c>
      <c r="D29" s="20" t="s">
        <v>266</v>
      </c>
      <c r="E29" s="20" t="s">
        <v>274</v>
      </c>
      <c r="F29" s="11" t="str">
        <f aca="false">IF(B29=0,"none",IF(B29*$B$15/$B$5&gt;=$B$16,"A",IF(B29*$B$15/$B$9&gt;=$B$16,"B","C")))</f>
        <v>A</v>
      </c>
      <c r="G29" s="30" t="n">
        <f aca="false">IF(F29="A",$B$5,IF(F29="B",$B$9,IF(F29="C",$B$12,0)))</f>
        <v>1000</v>
      </c>
      <c r="H29" s="31" t="n">
        <f aca="false">IF(G29=0,0,B29*$B$15/G29)</f>
        <v>0.5</v>
      </c>
      <c r="I29" s="31" t="n">
        <f aca="false">$B$15-H29</f>
        <v>49.5</v>
      </c>
      <c r="J29" s="32" t="n">
        <f aca="false">C29/Summary!$B$6</f>
        <v>1000</v>
      </c>
      <c r="K29" s="11" t="str">
        <f aca="false">IF(J29&lt;0.1,"Low",IF(J29&lt;1,"Medium","High"))</f>
        <v>High</v>
      </c>
      <c r="L29" s="11" t="str">
        <f aca="false">IF(AND(H29&gt;0,H29&lt;$B$16),"Volume too small: make a weaker stock",IF(H29&gt;$B$15,"Stock too weak","OK"))</f>
        <v>OK</v>
      </c>
    </row>
    <row r="30" customFormat="false" ht="15" hidden="false" customHeight="false" outlineLevel="0" collapsed="false">
      <c r="A30" s="10" t="s">
        <v>275</v>
      </c>
      <c r="B30" s="29" t="n">
        <v>15</v>
      </c>
      <c r="C30" s="12" t="n">
        <f aca="false">B30*1000</f>
        <v>15000</v>
      </c>
      <c r="D30" s="20" t="s">
        <v>269</v>
      </c>
      <c r="E30" s="20" t="s">
        <v>276</v>
      </c>
      <c r="F30" s="11" t="str">
        <f aca="false">IF(B30=0,"none",IF(B30*$B$15/$B$5&gt;=$B$16,"A",IF(B30*$B$15/$B$9&gt;=$B$16,"B","C")))</f>
        <v>A</v>
      </c>
      <c r="G30" s="30" t="n">
        <f aca="false">IF(F30="A",$B$5,IF(F30="B",$B$9,IF(F30="C",$B$12,0)))</f>
        <v>1000</v>
      </c>
      <c r="H30" s="31" t="n">
        <f aca="false">IF(G30=0,0,B30*$B$15/G30)</f>
        <v>0.75</v>
      </c>
      <c r="I30" s="31" t="n">
        <f aca="false">$B$15-H30</f>
        <v>49.25</v>
      </c>
      <c r="J30" s="32" t="n">
        <f aca="false">C30/Summary!$B$6</f>
        <v>1500</v>
      </c>
      <c r="K30" s="11" t="str">
        <f aca="false">IF(J30&lt;0.1,"Low",IF(J30&lt;1,"Medium","High"))</f>
        <v>High</v>
      </c>
      <c r="L30" s="11" t="str">
        <f aca="false">IF(AND(H30&gt;0,H30&lt;$B$16),"Volume too small: make a weaker stock",IF(H30&gt;$B$15,"Stock too weak","OK"))</f>
        <v>OK</v>
      </c>
    </row>
    <row r="31" customFormat="false" ht="15" hidden="false" customHeight="false" outlineLevel="0" collapsed="false">
      <c r="A31" s="10" t="s">
        <v>277</v>
      </c>
      <c r="B31" s="29" t="n">
        <v>20</v>
      </c>
      <c r="C31" s="12" t="n">
        <f aca="false">B31*1000</f>
        <v>20000</v>
      </c>
      <c r="D31" s="20" t="s">
        <v>269</v>
      </c>
      <c r="E31" s="20" t="s">
        <v>276</v>
      </c>
      <c r="F31" s="11" t="str">
        <f aca="false">IF(B31=0,"none",IF(B31*$B$15/$B$5&gt;=$B$16,"A",IF(B31*$B$15/$B$9&gt;=$B$16,"B","C")))</f>
        <v>A</v>
      </c>
      <c r="G31" s="30" t="n">
        <f aca="false">IF(F31="A",$B$5,IF(F31="B",$B$9,IF(F31="C",$B$12,0)))</f>
        <v>1000</v>
      </c>
      <c r="H31" s="31" t="n">
        <f aca="false">IF(G31=0,0,B31*$B$15/G31)</f>
        <v>1</v>
      </c>
      <c r="I31" s="31" t="n">
        <f aca="false">$B$15-H31</f>
        <v>49</v>
      </c>
      <c r="J31" s="32" t="n">
        <f aca="false">C31/Summary!$B$6</f>
        <v>2000</v>
      </c>
      <c r="K31" s="11" t="str">
        <f aca="false">IF(J31&lt;0.1,"Low",IF(J31&lt;1,"Medium","High"))</f>
        <v>High</v>
      </c>
      <c r="L31" s="11" t="str">
        <f aca="false">IF(AND(H31&gt;0,H31&lt;$B$16),"Volume too small: make a weaker stock",IF(H31&gt;$B$15,"Stock too weak","OK"))</f>
        <v>OK</v>
      </c>
    </row>
    <row r="32" customFormat="false" ht="15" hidden="false" customHeight="false" outlineLevel="0" collapsed="false">
      <c r="A32" s="10" t="s">
        <v>278</v>
      </c>
      <c r="B32" s="29" t="n">
        <v>24</v>
      </c>
      <c r="C32" s="12" t="n">
        <f aca="false">B32*1000</f>
        <v>24000</v>
      </c>
      <c r="D32" s="20" t="s">
        <v>269</v>
      </c>
      <c r="E32" s="20" t="s">
        <v>279</v>
      </c>
      <c r="F32" s="11" t="str">
        <f aca="false">IF(B32=0,"none",IF(B32*$B$15/$B$5&gt;=$B$16,"A",IF(B32*$B$15/$B$9&gt;=$B$16,"B","C")))</f>
        <v>A</v>
      </c>
      <c r="G32" s="30" t="n">
        <f aca="false">IF(F32="A",$B$5,IF(F32="B",$B$9,IF(F32="C",$B$12,0)))</f>
        <v>1000</v>
      </c>
      <c r="H32" s="31" t="n">
        <f aca="false">IF(G32=0,0,B32*$B$15/G32)</f>
        <v>1.2</v>
      </c>
      <c r="I32" s="31" t="n">
        <f aca="false">$B$15-H32</f>
        <v>48.8</v>
      </c>
      <c r="J32" s="32" t="n">
        <f aca="false">C32/Summary!$B$6</f>
        <v>2400</v>
      </c>
      <c r="K32" s="11" t="str">
        <f aca="false">IF(J32&lt;0.1,"Low",IF(J32&lt;1,"Medium","High"))</f>
        <v>High</v>
      </c>
      <c r="L32" s="11" t="str">
        <f aca="false">IF(AND(H32&gt;0,H32&lt;$B$16),"Volume too small: make a weaker stock",IF(H32&gt;$B$15,"Stock too weak","OK"))</f>
        <v>OK</v>
      </c>
    </row>
    <row r="34" customFormat="false" ht="15" hidden="false" customHeight="false" outlineLevel="0" collapsed="false">
      <c r="A34" s="5" t="s">
        <v>280</v>
      </c>
    </row>
    <row r="35" customFormat="false" ht="15" hidden="false" customHeight="false" outlineLevel="0" collapsed="false">
      <c r="A35" s="16" t="s">
        <v>281</v>
      </c>
      <c r="B35" s="33" t="n">
        <f aca="false">COUNTA(A21:A32)</f>
        <v>12</v>
      </c>
    </row>
    <row r="36" customFormat="false" ht="15" hidden="false" customHeight="false" outlineLevel="0" collapsed="false">
      <c r="A36" s="16" t="s">
        <v>282</v>
      </c>
      <c r="B36" s="33" t="n">
        <f aca="false">B35*$B$17</f>
        <v>36</v>
      </c>
    </row>
    <row r="37" customFormat="false" ht="15" hidden="false" customHeight="false" outlineLevel="0" collapsed="false">
      <c r="A37" s="16" t="s">
        <v>283</v>
      </c>
      <c r="B37" s="33" t="n">
        <f aca="false">(COUNTIF(D21:D32,"*HPLC*")+COUNTIF(D21:D32,"All*"))*$B$17</f>
        <v>24</v>
      </c>
    </row>
    <row r="38" customFormat="false" ht="15" hidden="false" customHeight="false" outlineLevel="0" collapsed="false">
      <c r="A38" s="16" t="s">
        <v>284</v>
      </c>
      <c r="B38" s="33" t="n">
        <f aca="false">(COUNTIF(D21:D32,"*UV-Vis*")+COUNTIF(D21:D32,"All*"))*$B$17</f>
        <v>24</v>
      </c>
    </row>
    <row r="40" customFormat="false" ht="15" hidden="false" customHeight="false" outlineLevel="0" collapsed="false">
      <c r="A40" s="5" t="s">
        <v>285</v>
      </c>
    </row>
    <row r="41" customFormat="false" ht="15" hidden="false" customHeight="false" outlineLevel="0" collapsed="false">
      <c r="A41" s="16" t="s">
        <v>286</v>
      </c>
    </row>
    <row r="42" customFormat="false" ht="15" hidden="false" customHeight="false" outlineLevel="0" collapsed="false">
      <c r="A42" s="16" t="s">
        <v>287</v>
      </c>
    </row>
    <row r="43" customFormat="false" ht="15" hidden="false" customHeight="false" outlineLevel="0" collapsed="false">
      <c r="A43" s="16" t="s">
        <v>288</v>
      </c>
    </row>
    <row r="44" customFormat="false" ht="15" hidden="false" customHeight="false" outlineLevel="0" collapsed="false">
      <c r="A44" s="16" t="s">
        <v>289</v>
      </c>
    </row>
    <row r="45" customFormat="false" ht="15" hidden="false" customHeight="false" outlineLevel="0" collapsed="false">
      <c r="A45" s="16" t="s">
        <v>290</v>
      </c>
    </row>
    <row r="46" customFormat="false" ht="15" hidden="false" customHeight="false" outlineLevel="0" collapsed="false">
      <c r="A46" s="16" t="s">
        <v>291</v>
      </c>
    </row>
    <row r="47" customFormat="false" ht="15" hidden="false" customHeight="false" outlineLevel="0" collapsed="false">
      <c r="A47" s="16" t="s">
        <v>292</v>
      </c>
    </row>
  </sheetData>
  <conditionalFormatting sqref="K21:K32">
    <cfRule type="expression" priority="2" aboveAverage="0" equalAverage="0" bottom="0" percent="0" rank="0" text="" dxfId="0">
      <formula>$K21="Low"</formula>
    </cfRule>
    <cfRule type="expression" priority="3" aboveAverage="0" equalAverage="0" bottom="0" percent="0" rank="0" text="" dxfId="1">
      <formula>$K21="Medium"</formula>
    </cfRule>
    <cfRule type="expression" priority="4" aboveAverage="0" equalAverage="0" bottom="0" percent="0" rank="0" text="" dxfId="2">
      <formula>$K21="High"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9"/>
    <col collapsed="false" customWidth="true" hidden="false" outlineLevel="0" max="4" min="4" style="0" width="11"/>
    <col collapsed="false" customWidth="true" hidden="false" outlineLevel="0" max="5" min="5" style="0" width="7"/>
    <col collapsed="false" customWidth="true" hidden="false" outlineLevel="0" max="7" min="6" style="0" width="13"/>
    <col collapsed="false" customWidth="true" hidden="false" outlineLevel="0" max="8" min="8" style="0" width="14"/>
    <col collapsed="false" customWidth="true" hidden="false" outlineLevel="0" max="9" min="9" style="0" width="12"/>
    <col collapsed="false" customWidth="true" hidden="false" outlineLevel="0" max="10" min="10" style="0" width="11"/>
    <col collapsed="false" customWidth="true" hidden="false" outlineLevel="0" max="11" min="11" style="0" width="46"/>
  </cols>
  <sheetData>
    <row r="1" customFormat="false" ht="16.15" hidden="false" customHeight="false" outlineLevel="0" collapsed="false">
      <c r="A1" s="18" t="s">
        <v>293</v>
      </c>
    </row>
    <row r="2" customFormat="false" ht="15" hidden="false" customHeight="false" outlineLevel="0" collapsed="false">
      <c r="A2" s="2" t="s">
        <v>294</v>
      </c>
    </row>
    <row r="5" customFormat="false" ht="23.85" hidden="false" customHeight="false" outlineLevel="0" collapsed="false">
      <c r="A5" s="9" t="s">
        <v>295</v>
      </c>
      <c r="B5" s="9" t="s">
        <v>245</v>
      </c>
      <c r="C5" s="9" t="s">
        <v>296</v>
      </c>
      <c r="D5" s="9" t="s">
        <v>246</v>
      </c>
      <c r="E5" s="9" t="s">
        <v>297</v>
      </c>
      <c r="F5" s="9" t="s">
        <v>298</v>
      </c>
      <c r="G5" s="9" t="s">
        <v>299</v>
      </c>
      <c r="H5" s="9" t="s">
        <v>300</v>
      </c>
      <c r="I5" s="9" t="s">
        <v>301</v>
      </c>
      <c r="J5" s="9" t="s">
        <v>302</v>
      </c>
      <c r="K5" s="9" t="s">
        <v>303</v>
      </c>
    </row>
    <row r="6" customFormat="false" ht="15" hidden="false" customHeight="false" outlineLevel="0" collapsed="false">
      <c r="A6" s="20" t="s">
        <v>304</v>
      </c>
      <c r="B6" s="20" t="s">
        <v>265</v>
      </c>
      <c r="C6" s="20" t="n">
        <v>1</v>
      </c>
      <c r="D6" s="30" t="n">
        <f aca="false">IF(B6="","",INDEX(Lab_Design!$B$21:$B$32,MATCH(B6,Lab_Design!$A$21:$A$32,0)))</f>
        <v>1</v>
      </c>
      <c r="E6" s="34" t="n">
        <v>6.8</v>
      </c>
      <c r="F6" s="35" t="n">
        <v>2.1</v>
      </c>
      <c r="G6" s="35" t="n">
        <v>25</v>
      </c>
      <c r="H6" s="36" t="n">
        <v>0.064</v>
      </c>
      <c r="I6" s="36" t="n">
        <v>0.98</v>
      </c>
      <c r="J6" s="37" t="n">
        <f aca="false">IF(OR(I6="",D6="",D6=0),"",I6/D6)</f>
        <v>0.98</v>
      </c>
      <c r="K6" s="20" t="s">
        <v>305</v>
      </c>
    </row>
    <row r="7" customFormat="false" ht="15" hidden="false" customHeight="false" outlineLevel="0" collapsed="false">
      <c r="A7" s="20"/>
      <c r="B7" s="20"/>
      <c r="C7" s="20"/>
      <c r="D7" s="30" t="str">
        <f aca="false">IF(B7="","",INDEX(Lab_Design!$B$21:$B$32,MATCH(B7,Lab_Design!$A$21:$A$32,0)))</f>
        <v/>
      </c>
      <c r="E7" s="34"/>
      <c r="F7" s="35"/>
      <c r="G7" s="35"/>
      <c r="H7" s="36"/>
      <c r="I7" s="36"/>
      <c r="J7" s="37" t="str">
        <f aca="false">IF(OR(I7="",D7="",D7=0),"",I7/D7)</f>
        <v/>
      </c>
      <c r="K7" s="20"/>
    </row>
    <row r="8" customFormat="false" ht="15" hidden="false" customHeight="false" outlineLevel="0" collapsed="false">
      <c r="A8" s="20"/>
      <c r="B8" s="20"/>
      <c r="C8" s="20"/>
      <c r="D8" s="30" t="str">
        <f aca="false">IF(B8="","",INDEX(Lab_Design!$B$21:$B$32,MATCH(B8,Lab_Design!$A$21:$A$32,0)))</f>
        <v/>
      </c>
      <c r="E8" s="34"/>
      <c r="F8" s="35"/>
      <c r="G8" s="35"/>
      <c r="H8" s="36"/>
      <c r="I8" s="36"/>
      <c r="J8" s="37" t="str">
        <f aca="false">IF(OR(I8="",D8="",D8=0),"",I8/D8)</f>
        <v/>
      </c>
      <c r="K8" s="20"/>
    </row>
    <row r="9" customFormat="false" ht="15" hidden="false" customHeight="false" outlineLevel="0" collapsed="false">
      <c r="A9" s="20"/>
      <c r="B9" s="20"/>
      <c r="C9" s="20"/>
      <c r="D9" s="30" t="str">
        <f aca="false">IF(B9="","",INDEX(Lab_Design!$B$21:$B$32,MATCH(B9,Lab_Design!$A$21:$A$32,0)))</f>
        <v/>
      </c>
      <c r="E9" s="34"/>
      <c r="F9" s="35"/>
      <c r="G9" s="35"/>
      <c r="H9" s="36"/>
      <c r="I9" s="36"/>
      <c r="J9" s="37" t="str">
        <f aca="false">IF(OR(I9="",D9="",D9=0),"",I9/D9)</f>
        <v/>
      </c>
      <c r="K9" s="20"/>
    </row>
    <row r="10" customFormat="false" ht="15" hidden="false" customHeight="false" outlineLevel="0" collapsed="false">
      <c r="A10" s="20"/>
      <c r="B10" s="20"/>
      <c r="C10" s="20"/>
      <c r="D10" s="30" t="str">
        <f aca="false">IF(B10="","",INDEX(Lab_Design!$B$21:$B$32,MATCH(B10,Lab_Design!$A$21:$A$32,0)))</f>
        <v/>
      </c>
      <c r="E10" s="34"/>
      <c r="F10" s="35"/>
      <c r="G10" s="35"/>
      <c r="H10" s="36"/>
      <c r="I10" s="36"/>
      <c r="J10" s="37" t="str">
        <f aca="false">IF(OR(I10="",D10="",D10=0),"",I10/D10)</f>
        <v/>
      </c>
      <c r="K10" s="20"/>
    </row>
    <row r="11" customFormat="false" ht="15" hidden="false" customHeight="false" outlineLevel="0" collapsed="false">
      <c r="A11" s="20"/>
      <c r="B11" s="20"/>
      <c r="C11" s="20"/>
      <c r="D11" s="30" t="str">
        <f aca="false">IF(B11="","",INDEX(Lab_Design!$B$21:$B$32,MATCH(B11,Lab_Design!$A$21:$A$32,0)))</f>
        <v/>
      </c>
      <c r="E11" s="34"/>
      <c r="F11" s="35"/>
      <c r="G11" s="35"/>
      <c r="H11" s="36"/>
      <c r="I11" s="36"/>
      <c r="J11" s="37" t="str">
        <f aca="false">IF(OR(I11="",D11="",D11=0),"",I11/D11)</f>
        <v/>
      </c>
      <c r="K11" s="20"/>
    </row>
    <row r="12" customFormat="false" ht="15" hidden="false" customHeight="false" outlineLevel="0" collapsed="false">
      <c r="A12" s="20"/>
      <c r="B12" s="20"/>
      <c r="C12" s="20"/>
      <c r="D12" s="30" t="str">
        <f aca="false">IF(B12="","",INDEX(Lab_Design!$B$21:$B$32,MATCH(B12,Lab_Design!$A$21:$A$32,0)))</f>
        <v/>
      </c>
      <c r="E12" s="34"/>
      <c r="F12" s="35"/>
      <c r="G12" s="35"/>
      <c r="H12" s="36"/>
      <c r="I12" s="36"/>
      <c r="J12" s="37" t="str">
        <f aca="false">IF(OR(I12="",D12="",D12=0),"",I12/D12)</f>
        <v/>
      </c>
      <c r="K12" s="20"/>
    </row>
    <row r="13" customFormat="false" ht="15" hidden="false" customHeight="false" outlineLevel="0" collapsed="false">
      <c r="A13" s="20"/>
      <c r="B13" s="20"/>
      <c r="C13" s="20"/>
      <c r="D13" s="30" t="str">
        <f aca="false">IF(B13="","",INDEX(Lab_Design!$B$21:$B$32,MATCH(B13,Lab_Design!$A$21:$A$32,0)))</f>
        <v/>
      </c>
      <c r="E13" s="34"/>
      <c r="F13" s="35"/>
      <c r="G13" s="35"/>
      <c r="H13" s="36"/>
      <c r="I13" s="36"/>
      <c r="J13" s="37" t="str">
        <f aca="false">IF(OR(I13="",D13="",D13=0),"",I13/D13)</f>
        <v/>
      </c>
      <c r="K13" s="20"/>
    </row>
    <row r="14" customFormat="false" ht="15" hidden="false" customHeight="false" outlineLevel="0" collapsed="false">
      <c r="A14" s="20"/>
      <c r="B14" s="20"/>
      <c r="C14" s="20"/>
      <c r="D14" s="30" t="str">
        <f aca="false">IF(B14="","",INDEX(Lab_Design!$B$21:$B$32,MATCH(B14,Lab_Design!$A$21:$A$32,0)))</f>
        <v/>
      </c>
      <c r="E14" s="34"/>
      <c r="F14" s="35"/>
      <c r="G14" s="35"/>
      <c r="H14" s="36"/>
      <c r="I14" s="36"/>
      <c r="J14" s="37" t="str">
        <f aca="false">IF(OR(I14="",D14="",D14=0),"",I14/D14)</f>
        <v/>
      </c>
      <c r="K14" s="20"/>
    </row>
    <row r="15" customFormat="false" ht="15" hidden="false" customHeight="false" outlineLevel="0" collapsed="false">
      <c r="A15" s="20"/>
      <c r="B15" s="20"/>
      <c r="C15" s="20"/>
      <c r="D15" s="30" t="str">
        <f aca="false">IF(B15="","",INDEX(Lab_Design!$B$21:$B$32,MATCH(B15,Lab_Design!$A$21:$A$32,0)))</f>
        <v/>
      </c>
      <c r="E15" s="34"/>
      <c r="F15" s="35"/>
      <c r="G15" s="35"/>
      <c r="H15" s="36"/>
      <c r="I15" s="36"/>
      <c r="J15" s="37" t="str">
        <f aca="false">IF(OR(I15="",D15="",D15=0),"",I15/D15)</f>
        <v/>
      </c>
      <c r="K15" s="20"/>
    </row>
    <row r="16" customFormat="false" ht="15" hidden="false" customHeight="false" outlineLevel="0" collapsed="false">
      <c r="A16" s="20"/>
      <c r="B16" s="20"/>
      <c r="C16" s="20"/>
      <c r="D16" s="30" t="str">
        <f aca="false">IF(B16="","",INDEX(Lab_Design!$B$21:$B$32,MATCH(B16,Lab_Design!$A$21:$A$32,0)))</f>
        <v/>
      </c>
      <c r="E16" s="34"/>
      <c r="F16" s="35"/>
      <c r="G16" s="35"/>
      <c r="H16" s="36"/>
      <c r="I16" s="36"/>
      <c r="J16" s="37" t="str">
        <f aca="false">IF(OR(I16="",D16="",D16=0),"",I16/D16)</f>
        <v/>
      </c>
      <c r="K16" s="20"/>
    </row>
    <row r="17" customFormat="false" ht="15" hidden="false" customHeight="false" outlineLevel="0" collapsed="false">
      <c r="A17" s="20"/>
      <c r="B17" s="20"/>
      <c r="C17" s="20"/>
      <c r="D17" s="30" t="str">
        <f aca="false">IF(B17="","",INDEX(Lab_Design!$B$21:$B$32,MATCH(B17,Lab_Design!$A$21:$A$32,0)))</f>
        <v/>
      </c>
      <c r="E17" s="34"/>
      <c r="F17" s="35"/>
      <c r="G17" s="35"/>
      <c r="H17" s="36"/>
      <c r="I17" s="36"/>
      <c r="J17" s="37" t="str">
        <f aca="false">IF(OR(I17="",D17="",D17=0),"",I17/D17)</f>
        <v/>
      </c>
      <c r="K17" s="20"/>
    </row>
    <row r="18" customFormat="false" ht="15" hidden="false" customHeight="false" outlineLevel="0" collapsed="false">
      <c r="A18" s="20"/>
      <c r="B18" s="20"/>
      <c r="C18" s="20"/>
      <c r="D18" s="30" t="str">
        <f aca="false">IF(B18="","",INDEX(Lab_Design!$B$21:$B$32,MATCH(B18,Lab_Design!$A$21:$A$32,0)))</f>
        <v/>
      </c>
      <c r="E18" s="34"/>
      <c r="F18" s="35"/>
      <c r="G18" s="35"/>
      <c r="H18" s="36"/>
      <c r="I18" s="36"/>
      <c r="J18" s="37" t="str">
        <f aca="false">IF(OR(I18="",D18="",D18=0),"",I18/D18)</f>
        <v/>
      </c>
      <c r="K18" s="20"/>
    </row>
    <row r="19" customFormat="false" ht="15" hidden="false" customHeight="false" outlineLevel="0" collapsed="false">
      <c r="A19" s="20"/>
      <c r="B19" s="20"/>
      <c r="C19" s="20"/>
      <c r="D19" s="30" t="str">
        <f aca="false">IF(B19="","",INDEX(Lab_Design!$B$21:$B$32,MATCH(B19,Lab_Design!$A$21:$A$32,0)))</f>
        <v/>
      </c>
      <c r="E19" s="34"/>
      <c r="F19" s="35"/>
      <c r="G19" s="35"/>
      <c r="H19" s="36"/>
      <c r="I19" s="36"/>
      <c r="J19" s="37" t="str">
        <f aca="false">IF(OR(I19="",D19="",D19=0),"",I19/D19)</f>
        <v/>
      </c>
      <c r="K19" s="20"/>
    </row>
    <row r="20" customFormat="false" ht="15" hidden="false" customHeight="false" outlineLevel="0" collapsed="false">
      <c r="A20" s="20"/>
      <c r="B20" s="20"/>
      <c r="C20" s="20"/>
      <c r="D20" s="30" t="str">
        <f aca="false">IF(B20="","",INDEX(Lab_Design!$B$21:$B$32,MATCH(B20,Lab_Design!$A$21:$A$32,0)))</f>
        <v/>
      </c>
      <c r="E20" s="34"/>
      <c r="F20" s="35"/>
      <c r="G20" s="35"/>
      <c r="H20" s="36"/>
      <c r="I20" s="36"/>
      <c r="J20" s="37" t="str">
        <f aca="false">IF(OR(I20="",D20="",D20=0),"",I20/D20)</f>
        <v/>
      </c>
      <c r="K20" s="20"/>
    </row>
    <row r="21" customFormat="false" ht="15" hidden="false" customHeight="false" outlineLevel="0" collapsed="false">
      <c r="A21" s="20"/>
      <c r="B21" s="20"/>
      <c r="C21" s="20"/>
      <c r="D21" s="30" t="str">
        <f aca="false">IF(B21="","",INDEX(Lab_Design!$B$21:$B$32,MATCH(B21,Lab_Design!$A$21:$A$32,0)))</f>
        <v/>
      </c>
      <c r="E21" s="34"/>
      <c r="F21" s="35"/>
      <c r="G21" s="35"/>
      <c r="H21" s="36"/>
      <c r="I21" s="36"/>
      <c r="J21" s="37" t="str">
        <f aca="false">IF(OR(I21="",D21="",D21=0),"",I21/D21)</f>
        <v/>
      </c>
      <c r="K21" s="20"/>
    </row>
    <row r="22" customFormat="false" ht="15" hidden="false" customHeight="false" outlineLevel="0" collapsed="false">
      <c r="A22" s="20"/>
      <c r="B22" s="20"/>
      <c r="C22" s="20"/>
      <c r="D22" s="30" t="str">
        <f aca="false">IF(B22="","",INDEX(Lab_Design!$B$21:$B$32,MATCH(B22,Lab_Design!$A$21:$A$32,0)))</f>
        <v/>
      </c>
      <c r="E22" s="34"/>
      <c r="F22" s="35"/>
      <c r="G22" s="35"/>
      <c r="H22" s="36"/>
      <c r="I22" s="36"/>
      <c r="J22" s="37" t="str">
        <f aca="false">IF(OR(I22="",D22="",D22=0),"",I22/D22)</f>
        <v/>
      </c>
      <c r="K22" s="20"/>
    </row>
    <row r="23" customFormat="false" ht="15" hidden="false" customHeight="false" outlineLevel="0" collapsed="false">
      <c r="A23" s="20"/>
      <c r="B23" s="20"/>
      <c r="C23" s="20"/>
      <c r="D23" s="30" t="str">
        <f aca="false">IF(B23="","",INDEX(Lab_Design!$B$21:$B$32,MATCH(B23,Lab_Design!$A$21:$A$32,0)))</f>
        <v/>
      </c>
      <c r="E23" s="34"/>
      <c r="F23" s="35"/>
      <c r="G23" s="35"/>
      <c r="H23" s="36"/>
      <c r="I23" s="36"/>
      <c r="J23" s="37" t="str">
        <f aca="false">IF(OR(I23="",D23="",D23=0),"",I23/D23)</f>
        <v/>
      </c>
      <c r="K23" s="20"/>
    </row>
    <row r="24" customFormat="false" ht="15" hidden="false" customHeight="false" outlineLevel="0" collapsed="false">
      <c r="A24" s="20"/>
      <c r="B24" s="20"/>
      <c r="C24" s="20"/>
      <c r="D24" s="30" t="str">
        <f aca="false">IF(B24="","",INDEX(Lab_Design!$B$21:$B$32,MATCH(B24,Lab_Design!$A$21:$A$32,0)))</f>
        <v/>
      </c>
      <c r="E24" s="34"/>
      <c r="F24" s="35"/>
      <c r="G24" s="35"/>
      <c r="H24" s="36"/>
      <c r="I24" s="36"/>
      <c r="J24" s="37" t="str">
        <f aca="false">IF(OR(I24="",D24="",D24=0),"",I24/D24)</f>
        <v/>
      </c>
      <c r="K24" s="20"/>
    </row>
    <row r="25" customFormat="false" ht="15" hidden="false" customHeight="false" outlineLevel="0" collapsed="false">
      <c r="A25" s="20"/>
      <c r="B25" s="20"/>
      <c r="C25" s="20"/>
      <c r="D25" s="30" t="str">
        <f aca="false">IF(B25="","",INDEX(Lab_Design!$B$21:$B$32,MATCH(B25,Lab_Design!$A$21:$A$32,0)))</f>
        <v/>
      </c>
      <c r="E25" s="34"/>
      <c r="F25" s="35"/>
      <c r="G25" s="35"/>
      <c r="H25" s="36"/>
      <c r="I25" s="36"/>
      <c r="J25" s="37" t="str">
        <f aca="false">IF(OR(I25="",D25="",D25=0),"",I25/D25)</f>
        <v/>
      </c>
      <c r="K25" s="20"/>
    </row>
    <row r="26" customFormat="false" ht="15" hidden="false" customHeight="false" outlineLevel="0" collapsed="false">
      <c r="A26" s="20"/>
      <c r="B26" s="20"/>
      <c r="C26" s="20"/>
      <c r="D26" s="30" t="str">
        <f aca="false">IF(B26="","",INDEX(Lab_Design!$B$21:$B$32,MATCH(B26,Lab_Design!$A$21:$A$32,0)))</f>
        <v/>
      </c>
      <c r="E26" s="34"/>
      <c r="F26" s="35"/>
      <c r="G26" s="35"/>
      <c r="H26" s="36"/>
      <c r="I26" s="36"/>
      <c r="J26" s="37" t="str">
        <f aca="false">IF(OR(I26="",D26="",D26=0),"",I26/D26)</f>
        <v/>
      </c>
      <c r="K26" s="20"/>
    </row>
    <row r="27" customFormat="false" ht="15" hidden="false" customHeight="false" outlineLevel="0" collapsed="false">
      <c r="A27" s="20"/>
      <c r="B27" s="20"/>
      <c r="C27" s="20"/>
      <c r="D27" s="30" t="str">
        <f aca="false">IF(B27="","",INDEX(Lab_Design!$B$21:$B$32,MATCH(B27,Lab_Design!$A$21:$A$32,0)))</f>
        <v/>
      </c>
      <c r="E27" s="34"/>
      <c r="F27" s="35"/>
      <c r="G27" s="35"/>
      <c r="H27" s="36"/>
      <c r="I27" s="36"/>
      <c r="J27" s="37" t="str">
        <f aca="false">IF(OR(I27="",D27="",D27=0),"",I27/D27)</f>
        <v/>
      </c>
      <c r="K27" s="20"/>
    </row>
    <row r="28" customFormat="false" ht="15" hidden="false" customHeight="false" outlineLevel="0" collapsed="false">
      <c r="A28" s="20"/>
      <c r="B28" s="20"/>
      <c r="C28" s="20"/>
      <c r="D28" s="30" t="str">
        <f aca="false">IF(B28="","",INDEX(Lab_Design!$B$21:$B$32,MATCH(B28,Lab_Design!$A$21:$A$32,0)))</f>
        <v/>
      </c>
      <c r="E28" s="34"/>
      <c r="F28" s="35"/>
      <c r="G28" s="35"/>
      <c r="H28" s="36"/>
      <c r="I28" s="36"/>
      <c r="J28" s="37" t="str">
        <f aca="false">IF(OR(I28="",D28="",D28=0),"",I28/D28)</f>
        <v/>
      </c>
      <c r="K28" s="20"/>
    </row>
    <row r="29" customFormat="false" ht="15" hidden="false" customHeight="false" outlineLevel="0" collapsed="false">
      <c r="A29" s="20"/>
      <c r="B29" s="20"/>
      <c r="C29" s="20"/>
      <c r="D29" s="30" t="str">
        <f aca="false">IF(B29="","",INDEX(Lab_Design!$B$21:$B$32,MATCH(B29,Lab_Design!$A$21:$A$32,0)))</f>
        <v/>
      </c>
      <c r="E29" s="34"/>
      <c r="F29" s="35"/>
      <c r="G29" s="35"/>
      <c r="H29" s="36"/>
      <c r="I29" s="36"/>
      <c r="J29" s="37" t="str">
        <f aca="false">IF(OR(I29="",D29="",D29=0),"",I29/D29)</f>
        <v/>
      </c>
      <c r="K29" s="20"/>
    </row>
    <row r="30" customFormat="false" ht="15" hidden="false" customHeight="false" outlineLevel="0" collapsed="false">
      <c r="A30" s="20"/>
      <c r="B30" s="20"/>
      <c r="C30" s="20"/>
      <c r="D30" s="30" t="str">
        <f aca="false">IF(B30="","",INDEX(Lab_Design!$B$21:$B$32,MATCH(B30,Lab_Design!$A$21:$A$32,0)))</f>
        <v/>
      </c>
      <c r="E30" s="34"/>
      <c r="F30" s="35"/>
      <c r="G30" s="35"/>
      <c r="H30" s="36"/>
      <c r="I30" s="36"/>
      <c r="J30" s="37" t="str">
        <f aca="false">IF(OR(I30="",D30="",D30=0),"",I30/D30)</f>
        <v/>
      </c>
      <c r="K30" s="20"/>
    </row>
    <row r="31" customFormat="false" ht="15" hidden="false" customHeight="false" outlineLevel="0" collapsed="false">
      <c r="A31" s="20"/>
      <c r="B31" s="20"/>
      <c r="C31" s="20"/>
      <c r="D31" s="30" t="str">
        <f aca="false">IF(B31="","",INDEX(Lab_Design!$B$21:$B$32,MATCH(B31,Lab_Design!$A$21:$A$32,0)))</f>
        <v/>
      </c>
      <c r="E31" s="34"/>
      <c r="F31" s="35"/>
      <c r="G31" s="35"/>
      <c r="H31" s="36"/>
      <c r="I31" s="36"/>
      <c r="J31" s="37" t="str">
        <f aca="false">IF(OR(I31="",D31="",D31=0),"",I31/D31)</f>
        <v/>
      </c>
      <c r="K31" s="20"/>
    </row>
    <row r="32" customFormat="false" ht="15" hidden="false" customHeight="false" outlineLevel="0" collapsed="false">
      <c r="A32" s="20"/>
      <c r="B32" s="20"/>
      <c r="C32" s="20"/>
      <c r="D32" s="30" t="str">
        <f aca="false">IF(B32="","",INDEX(Lab_Design!$B$21:$B$32,MATCH(B32,Lab_Design!$A$21:$A$32,0)))</f>
        <v/>
      </c>
      <c r="E32" s="34"/>
      <c r="F32" s="35"/>
      <c r="G32" s="35"/>
      <c r="H32" s="36"/>
      <c r="I32" s="36"/>
      <c r="J32" s="37" t="str">
        <f aca="false">IF(OR(I32="",D32="",D32=0),"",I32/D32)</f>
        <v/>
      </c>
      <c r="K32" s="20"/>
    </row>
    <row r="33" customFormat="false" ht="15" hidden="false" customHeight="false" outlineLevel="0" collapsed="false">
      <c r="A33" s="20"/>
      <c r="B33" s="20"/>
      <c r="C33" s="20"/>
      <c r="D33" s="30" t="str">
        <f aca="false">IF(B33="","",INDEX(Lab_Design!$B$21:$B$32,MATCH(B33,Lab_Design!$A$21:$A$32,0)))</f>
        <v/>
      </c>
      <c r="E33" s="34"/>
      <c r="F33" s="35"/>
      <c r="G33" s="35"/>
      <c r="H33" s="36"/>
      <c r="I33" s="36"/>
      <c r="J33" s="37" t="str">
        <f aca="false">IF(OR(I33="",D33="",D33=0),"",I33/D33)</f>
        <v/>
      </c>
      <c r="K33" s="20"/>
    </row>
    <row r="34" customFormat="false" ht="15" hidden="false" customHeight="false" outlineLevel="0" collapsed="false">
      <c r="A34" s="20"/>
      <c r="B34" s="20"/>
      <c r="C34" s="20"/>
      <c r="D34" s="30" t="str">
        <f aca="false">IF(B34="","",INDEX(Lab_Design!$B$21:$B$32,MATCH(B34,Lab_Design!$A$21:$A$32,0)))</f>
        <v/>
      </c>
      <c r="E34" s="34"/>
      <c r="F34" s="35"/>
      <c r="G34" s="35"/>
      <c r="H34" s="36"/>
      <c r="I34" s="36"/>
      <c r="J34" s="37" t="str">
        <f aca="false">IF(OR(I34="",D34="",D34=0),"",I34/D34)</f>
        <v/>
      </c>
      <c r="K34" s="20"/>
    </row>
    <row r="35" customFormat="false" ht="15" hidden="false" customHeight="false" outlineLevel="0" collapsed="false">
      <c r="A35" s="20"/>
      <c r="B35" s="20"/>
      <c r="C35" s="20"/>
      <c r="D35" s="30" t="str">
        <f aca="false">IF(B35="","",INDEX(Lab_Design!$B$21:$B$32,MATCH(B35,Lab_Design!$A$21:$A$32,0)))</f>
        <v/>
      </c>
      <c r="E35" s="34"/>
      <c r="F35" s="35"/>
      <c r="G35" s="35"/>
      <c r="H35" s="36"/>
      <c r="I35" s="36"/>
      <c r="J35" s="37" t="str">
        <f aca="false">IF(OR(I35="",D35="",D35=0),"",I35/D35)</f>
        <v/>
      </c>
      <c r="K35" s="20"/>
    </row>
    <row r="36" customFormat="false" ht="15" hidden="false" customHeight="false" outlineLevel="0" collapsed="false">
      <c r="A36" s="20"/>
      <c r="B36" s="20"/>
      <c r="C36" s="20"/>
      <c r="D36" s="30" t="str">
        <f aca="false">IF(B36="","",INDEX(Lab_Design!$B$21:$B$32,MATCH(B36,Lab_Design!$A$21:$A$32,0)))</f>
        <v/>
      </c>
      <c r="E36" s="34"/>
      <c r="F36" s="35"/>
      <c r="G36" s="35"/>
      <c r="H36" s="36"/>
      <c r="I36" s="36"/>
      <c r="J36" s="37" t="str">
        <f aca="false">IF(OR(I36="",D36="",D36=0),"",I36/D36)</f>
        <v/>
      </c>
      <c r="K36" s="20"/>
    </row>
    <row r="37" customFormat="false" ht="15" hidden="false" customHeight="false" outlineLevel="0" collapsed="false">
      <c r="A37" s="20"/>
      <c r="B37" s="20"/>
      <c r="C37" s="20"/>
      <c r="D37" s="30" t="str">
        <f aca="false">IF(B37="","",INDEX(Lab_Design!$B$21:$B$32,MATCH(B37,Lab_Design!$A$21:$A$32,0)))</f>
        <v/>
      </c>
      <c r="E37" s="34"/>
      <c r="F37" s="35"/>
      <c r="G37" s="35"/>
      <c r="H37" s="36"/>
      <c r="I37" s="36"/>
      <c r="J37" s="37" t="str">
        <f aca="false">IF(OR(I37="",D37="",D37=0),"",I37/D37)</f>
        <v/>
      </c>
      <c r="K37" s="20"/>
    </row>
    <row r="38" customFormat="false" ht="15" hidden="false" customHeight="false" outlineLevel="0" collapsed="false">
      <c r="A38" s="20"/>
      <c r="B38" s="20"/>
      <c r="C38" s="20"/>
      <c r="D38" s="30" t="str">
        <f aca="false">IF(B38="","",INDEX(Lab_Design!$B$21:$B$32,MATCH(B38,Lab_Design!$A$21:$A$32,0)))</f>
        <v/>
      </c>
      <c r="E38" s="34"/>
      <c r="F38" s="35"/>
      <c r="G38" s="35"/>
      <c r="H38" s="36"/>
      <c r="I38" s="36"/>
      <c r="J38" s="37" t="str">
        <f aca="false">IF(OR(I38="",D38="",D38=0),"",I38/D38)</f>
        <v/>
      </c>
      <c r="K38" s="20"/>
    </row>
    <row r="39" customFormat="false" ht="15" hidden="false" customHeight="false" outlineLevel="0" collapsed="false">
      <c r="A39" s="20"/>
      <c r="B39" s="20"/>
      <c r="C39" s="20"/>
      <c r="D39" s="30" t="str">
        <f aca="false">IF(B39="","",INDEX(Lab_Design!$B$21:$B$32,MATCH(B39,Lab_Design!$A$21:$A$32,0)))</f>
        <v/>
      </c>
      <c r="E39" s="34"/>
      <c r="F39" s="35"/>
      <c r="G39" s="35"/>
      <c r="H39" s="36"/>
      <c r="I39" s="36"/>
      <c r="J39" s="37" t="str">
        <f aca="false">IF(OR(I39="",D39="",D39=0),"",I39/D39)</f>
        <v/>
      </c>
      <c r="K39" s="20"/>
    </row>
    <row r="40" customFormat="false" ht="15" hidden="false" customHeight="false" outlineLevel="0" collapsed="false">
      <c r="A40" s="20"/>
      <c r="B40" s="20"/>
      <c r="C40" s="20"/>
      <c r="D40" s="30" t="str">
        <f aca="false">IF(B40="","",INDEX(Lab_Design!$B$21:$B$32,MATCH(B40,Lab_Design!$A$21:$A$32,0)))</f>
        <v/>
      </c>
      <c r="E40" s="34"/>
      <c r="F40" s="35"/>
      <c r="G40" s="35"/>
      <c r="H40" s="36"/>
      <c r="I40" s="36"/>
      <c r="J40" s="37" t="str">
        <f aca="false">IF(OR(I40="",D40="",D40=0),"",I40/D40)</f>
        <v/>
      </c>
      <c r="K40" s="20"/>
    </row>
    <row r="41" customFormat="false" ht="15" hidden="false" customHeight="false" outlineLevel="0" collapsed="false">
      <c r="A41" s="20"/>
      <c r="B41" s="20"/>
      <c r="C41" s="20"/>
      <c r="D41" s="30" t="str">
        <f aca="false">IF(B41="","",INDEX(Lab_Design!$B$21:$B$32,MATCH(B41,Lab_Design!$A$21:$A$32,0)))</f>
        <v/>
      </c>
      <c r="E41" s="34"/>
      <c r="F41" s="35"/>
      <c r="G41" s="35"/>
      <c r="H41" s="36"/>
      <c r="I41" s="36"/>
      <c r="J41" s="37" t="str">
        <f aca="false">IF(OR(I41="",D41="",D41=0),"",I41/D41)</f>
        <v/>
      </c>
      <c r="K41" s="20"/>
    </row>
    <row r="42" customFormat="false" ht="15" hidden="false" customHeight="false" outlineLevel="0" collapsed="false">
      <c r="A42" s="20"/>
      <c r="B42" s="20"/>
      <c r="C42" s="20"/>
      <c r="D42" s="30" t="str">
        <f aca="false">IF(B42="","",INDEX(Lab_Design!$B$21:$B$32,MATCH(B42,Lab_Design!$A$21:$A$32,0)))</f>
        <v/>
      </c>
      <c r="E42" s="34"/>
      <c r="F42" s="35"/>
      <c r="G42" s="35"/>
      <c r="H42" s="36"/>
      <c r="I42" s="36"/>
      <c r="J42" s="37" t="str">
        <f aca="false">IF(OR(I42="",D42="",D42=0),"",I42/D42)</f>
        <v/>
      </c>
      <c r="K42" s="20"/>
    </row>
    <row r="43" customFormat="false" ht="15" hidden="false" customHeight="false" outlineLevel="0" collapsed="false">
      <c r="A43" s="20"/>
      <c r="B43" s="20"/>
      <c r="C43" s="20"/>
      <c r="D43" s="30" t="str">
        <f aca="false">IF(B43="","",INDEX(Lab_Design!$B$21:$B$32,MATCH(B43,Lab_Design!$A$21:$A$32,0)))</f>
        <v/>
      </c>
      <c r="E43" s="34"/>
      <c r="F43" s="35"/>
      <c r="G43" s="35"/>
      <c r="H43" s="36"/>
      <c r="I43" s="36"/>
      <c r="J43" s="37" t="str">
        <f aca="false">IF(OR(I43="",D43="",D43=0),"",I43/D43)</f>
        <v/>
      </c>
      <c r="K43" s="20"/>
    </row>
    <row r="44" customFormat="false" ht="15" hidden="false" customHeight="false" outlineLevel="0" collapsed="false">
      <c r="A44" s="20"/>
      <c r="B44" s="20"/>
      <c r="C44" s="20"/>
      <c r="D44" s="30" t="str">
        <f aca="false">IF(B44="","",INDEX(Lab_Design!$B$21:$B$32,MATCH(B44,Lab_Design!$A$21:$A$32,0)))</f>
        <v/>
      </c>
      <c r="E44" s="34"/>
      <c r="F44" s="35"/>
      <c r="G44" s="35"/>
      <c r="H44" s="36"/>
      <c r="I44" s="36"/>
      <c r="J44" s="37" t="str">
        <f aca="false">IF(OR(I44="",D44="",D44=0),"",I44/D44)</f>
        <v/>
      </c>
      <c r="K44" s="20"/>
    </row>
    <row r="45" customFormat="false" ht="15" hidden="false" customHeight="false" outlineLevel="0" collapsed="false">
      <c r="A45" s="20"/>
      <c r="B45" s="20"/>
      <c r="C45" s="20"/>
      <c r="D45" s="30" t="str">
        <f aca="false">IF(B45="","",INDEX(Lab_Design!$B$21:$B$32,MATCH(B45,Lab_Design!$A$21:$A$32,0)))</f>
        <v/>
      </c>
      <c r="E45" s="34"/>
      <c r="F45" s="35"/>
      <c r="G45" s="35"/>
      <c r="H45" s="36"/>
      <c r="I45" s="36"/>
      <c r="J45" s="37" t="str">
        <f aca="false">IF(OR(I45="",D45="",D45=0),"",I45/D45)</f>
        <v/>
      </c>
      <c r="K45" s="20"/>
    </row>
    <row r="46" customFormat="false" ht="15" hidden="false" customHeight="false" outlineLevel="0" collapsed="false">
      <c r="A46" s="20"/>
      <c r="B46" s="20"/>
      <c r="C46" s="20"/>
      <c r="D46" s="30" t="str">
        <f aca="false">IF(B46="","",INDEX(Lab_Design!$B$21:$B$32,MATCH(B46,Lab_Design!$A$21:$A$32,0)))</f>
        <v/>
      </c>
      <c r="E46" s="34"/>
      <c r="F46" s="35"/>
      <c r="G46" s="35"/>
      <c r="H46" s="36"/>
      <c r="I46" s="36"/>
      <c r="J46" s="37" t="str">
        <f aca="false">IF(OR(I46="",D46="",D46=0),"",I46/D46)</f>
        <v/>
      </c>
      <c r="K46" s="20"/>
    </row>
    <row r="47" customFormat="false" ht="15" hidden="false" customHeight="false" outlineLevel="0" collapsed="false">
      <c r="A47" s="20"/>
      <c r="B47" s="20"/>
      <c r="C47" s="20"/>
      <c r="D47" s="30" t="str">
        <f aca="false">IF(B47="","",INDEX(Lab_Design!$B$21:$B$32,MATCH(B47,Lab_Design!$A$21:$A$32,0)))</f>
        <v/>
      </c>
      <c r="E47" s="34"/>
      <c r="F47" s="35"/>
      <c r="G47" s="35"/>
      <c r="H47" s="36"/>
      <c r="I47" s="36"/>
      <c r="J47" s="37" t="str">
        <f aca="false">IF(OR(I47="",D47="",D47=0),"",I47/D47)</f>
        <v/>
      </c>
      <c r="K47" s="20"/>
    </row>
    <row r="48" customFormat="false" ht="15" hidden="false" customHeight="false" outlineLevel="0" collapsed="false">
      <c r="A48" s="20"/>
      <c r="B48" s="20"/>
      <c r="C48" s="20"/>
      <c r="D48" s="30" t="str">
        <f aca="false">IF(B48="","",INDEX(Lab_Design!$B$21:$B$32,MATCH(B48,Lab_Design!$A$21:$A$32,0)))</f>
        <v/>
      </c>
      <c r="E48" s="34"/>
      <c r="F48" s="35"/>
      <c r="G48" s="35"/>
      <c r="H48" s="36"/>
      <c r="I48" s="36"/>
      <c r="J48" s="37" t="str">
        <f aca="false">IF(OR(I48="",D48="",D48=0),"",I48/D48)</f>
        <v/>
      </c>
      <c r="K48" s="20"/>
    </row>
    <row r="49" customFormat="false" ht="15" hidden="false" customHeight="false" outlineLevel="0" collapsed="false">
      <c r="A49" s="20"/>
      <c r="B49" s="20"/>
      <c r="C49" s="20"/>
      <c r="D49" s="30" t="str">
        <f aca="false">IF(B49="","",INDEX(Lab_Design!$B$21:$B$32,MATCH(B49,Lab_Design!$A$21:$A$32,0)))</f>
        <v/>
      </c>
      <c r="E49" s="34"/>
      <c r="F49" s="35"/>
      <c r="G49" s="35"/>
      <c r="H49" s="36"/>
      <c r="I49" s="36"/>
      <c r="J49" s="37" t="str">
        <f aca="false">IF(OR(I49="",D49="",D49=0),"",I49/D49)</f>
        <v/>
      </c>
      <c r="K49" s="20"/>
    </row>
    <row r="50" customFormat="false" ht="15" hidden="false" customHeight="false" outlineLevel="0" collapsed="false">
      <c r="A50" s="20"/>
      <c r="B50" s="20"/>
      <c r="C50" s="20"/>
      <c r="D50" s="30" t="str">
        <f aca="false">IF(B50="","",INDEX(Lab_Design!$B$21:$B$32,MATCH(B50,Lab_Design!$A$21:$A$32,0)))</f>
        <v/>
      </c>
      <c r="E50" s="34"/>
      <c r="F50" s="35"/>
      <c r="G50" s="35"/>
      <c r="H50" s="36"/>
      <c r="I50" s="36"/>
      <c r="J50" s="37" t="str">
        <f aca="false">IF(OR(I50="",D50="",D50=0),"",I50/D50)</f>
        <v/>
      </c>
      <c r="K50" s="20"/>
    </row>
    <row r="51" customFormat="false" ht="15" hidden="false" customHeight="false" outlineLevel="0" collapsed="false">
      <c r="A51" s="20"/>
      <c r="B51" s="20"/>
      <c r="C51" s="20"/>
      <c r="D51" s="30" t="str">
        <f aca="false">IF(B51="","",INDEX(Lab_Design!$B$21:$B$32,MATCH(B51,Lab_Design!$A$21:$A$32,0)))</f>
        <v/>
      </c>
      <c r="E51" s="34"/>
      <c r="F51" s="35"/>
      <c r="G51" s="35"/>
      <c r="H51" s="36"/>
      <c r="I51" s="36"/>
      <c r="J51" s="37" t="str">
        <f aca="false">IF(OR(I51="",D51="",D51=0),"",I51/D51)</f>
        <v/>
      </c>
      <c r="K51" s="20"/>
    </row>
    <row r="52" customFormat="false" ht="15" hidden="false" customHeight="false" outlineLevel="0" collapsed="false">
      <c r="A52" s="20"/>
      <c r="B52" s="20"/>
      <c r="C52" s="20"/>
      <c r="D52" s="30" t="str">
        <f aca="false">IF(B52="","",INDEX(Lab_Design!$B$21:$B$32,MATCH(B52,Lab_Design!$A$21:$A$32,0)))</f>
        <v/>
      </c>
      <c r="E52" s="34"/>
      <c r="F52" s="35"/>
      <c r="G52" s="35"/>
      <c r="H52" s="36"/>
      <c r="I52" s="36"/>
      <c r="J52" s="37" t="str">
        <f aca="false">IF(OR(I52="",D52="",D52=0),"",I52/D52)</f>
        <v/>
      </c>
      <c r="K52" s="20"/>
    </row>
    <row r="53" customFormat="false" ht="15" hidden="false" customHeight="false" outlineLevel="0" collapsed="false">
      <c r="A53" s="20"/>
      <c r="B53" s="20"/>
      <c r="C53" s="20"/>
      <c r="D53" s="30" t="str">
        <f aca="false">IF(B53="","",INDEX(Lab_Design!$B$21:$B$32,MATCH(B53,Lab_Design!$A$21:$A$32,0)))</f>
        <v/>
      </c>
      <c r="E53" s="34"/>
      <c r="F53" s="35"/>
      <c r="G53" s="35"/>
      <c r="H53" s="36"/>
      <c r="I53" s="36"/>
      <c r="J53" s="37" t="str">
        <f aca="false">IF(OR(I53="",D53="",D53=0),"",I53/D53)</f>
        <v/>
      </c>
      <c r="K53" s="20"/>
    </row>
    <row r="54" customFormat="false" ht="15" hidden="false" customHeight="false" outlineLevel="0" collapsed="false">
      <c r="A54" s="20"/>
      <c r="B54" s="20"/>
      <c r="C54" s="20"/>
      <c r="D54" s="30" t="str">
        <f aca="false">IF(B54="","",INDEX(Lab_Design!$B$21:$B$32,MATCH(B54,Lab_Design!$A$21:$A$32,0)))</f>
        <v/>
      </c>
      <c r="E54" s="34"/>
      <c r="F54" s="35"/>
      <c r="G54" s="35"/>
      <c r="H54" s="36"/>
      <c r="I54" s="36"/>
      <c r="J54" s="37" t="str">
        <f aca="false">IF(OR(I54="",D54="",D54=0),"",I54/D54)</f>
        <v/>
      </c>
      <c r="K54" s="20"/>
    </row>
    <row r="55" customFormat="false" ht="15" hidden="false" customHeight="false" outlineLevel="0" collapsed="false">
      <c r="A55" s="20"/>
      <c r="B55" s="20"/>
      <c r="C55" s="20"/>
      <c r="D55" s="30" t="str">
        <f aca="false">IF(B55="","",INDEX(Lab_Design!$B$21:$B$32,MATCH(B55,Lab_Design!$A$21:$A$32,0)))</f>
        <v/>
      </c>
      <c r="E55" s="34"/>
      <c r="F55" s="35"/>
      <c r="G55" s="35"/>
      <c r="H55" s="36"/>
      <c r="I55" s="36"/>
      <c r="J55" s="37" t="str">
        <f aca="false">IF(OR(I55="",D55="",D55=0),"",I55/D55)</f>
        <v/>
      </c>
      <c r="K55" s="20"/>
    </row>
    <row r="56" customFormat="false" ht="15" hidden="false" customHeight="false" outlineLevel="0" collapsed="false">
      <c r="A56" s="20"/>
      <c r="B56" s="20"/>
      <c r="C56" s="20"/>
      <c r="D56" s="30" t="str">
        <f aca="false">IF(B56="","",INDEX(Lab_Design!$B$21:$B$32,MATCH(B56,Lab_Design!$A$21:$A$32,0)))</f>
        <v/>
      </c>
      <c r="E56" s="34"/>
      <c r="F56" s="35"/>
      <c r="G56" s="35"/>
      <c r="H56" s="36"/>
      <c r="I56" s="36"/>
      <c r="J56" s="37" t="str">
        <f aca="false">IF(OR(I56="",D56="",D56=0),"",I56/D56)</f>
        <v/>
      </c>
      <c r="K56" s="20"/>
    </row>
    <row r="57" customFormat="false" ht="15" hidden="false" customHeight="false" outlineLevel="0" collapsed="false">
      <c r="A57" s="20"/>
      <c r="B57" s="20"/>
      <c r="C57" s="20"/>
      <c r="D57" s="30" t="str">
        <f aca="false">IF(B57="","",INDEX(Lab_Design!$B$21:$B$32,MATCH(B57,Lab_Design!$A$21:$A$32,0)))</f>
        <v/>
      </c>
      <c r="E57" s="34"/>
      <c r="F57" s="35"/>
      <c r="G57" s="35"/>
      <c r="H57" s="36"/>
      <c r="I57" s="36"/>
      <c r="J57" s="37" t="str">
        <f aca="false">IF(OR(I57="",D57="",D57=0),"",I57/D57)</f>
        <v/>
      </c>
      <c r="K57" s="20"/>
    </row>
    <row r="58" customFormat="false" ht="15" hidden="false" customHeight="false" outlineLevel="0" collapsed="false">
      <c r="A58" s="20"/>
      <c r="B58" s="20"/>
      <c r="C58" s="20"/>
      <c r="D58" s="30" t="str">
        <f aca="false">IF(B58="","",INDEX(Lab_Design!$B$21:$B$32,MATCH(B58,Lab_Design!$A$21:$A$32,0)))</f>
        <v/>
      </c>
      <c r="E58" s="34"/>
      <c r="F58" s="35"/>
      <c r="G58" s="35"/>
      <c r="H58" s="36"/>
      <c r="I58" s="36"/>
      <c r="J58" s="37" t="str">
        <f aca="false">IF(OR(I58="",D58="",D58=0),"",I58/D58)</f>
        <v/>
      </c>
      <c r="K58" s="20"/>
    </row>
    <row r="59" customFormat="false" ht="15" hidden="false" customHeight="false" outlineLevel="0" collapsed="false">
      <c r="A59" s="20"/>
      <c r="B59" s="20"/>
      <c r="C59" s="20"/>
      <c r="D59" s="30" t="str">
        <f aca="false">IF(B59="","",INDEX(Lab_Design!$B$21:$B$32,MATCH(B59,Lab_Design!$A$21:$A$32,0)))</f>
        <v/>
      </c>
      <c r="E59" s="34"/>
      <c r="F59" s="35"/>
      <c r="G59" s="35"/>
      <c r="H59" s="36"/>
      <c r="I59" s="36"/>
      <c r="J59" s="37" t="str">
        <f aca="false">IF(OR(I59="",D59="",D59=0),"",I59/D59)</f>
        <v/>
      </c>
      <c r="K59" s="20"/>
    </row>
    <row r="60" customFormat="false" ht="15" hidden="false" customHeight="false" outlineLevel="0" collapsed="false">
      <c r="A60" s="20"/>
      <c r="B60" s="20"/>
      <c r="C60" s="20"/>
      <c r="D60" s="30" t="str">
        <f aca="false">IF(B60="","",INDEX(Lab_Design!$B$21:$B$32,MATCH(B60,Lab_Design!$A$21:$A$32,0)))</f>
        <v/>
      </c>
      <c r="E60" s="34"/>
      <c r="F60" s="35"/>
      <c r="G60" s="35"/>
      <c r="H60" s="36"/>
      <c r="I60" s="36"/>
      <c r="J60" s="37" t="str">
        <f aca="false">IF(OR(I60="",D60="",D60=0),"",I60/D60)</f>
        <v/>
      </c>
      <c r="K60" s="20"/>
    </row>
    <row r="61" customFormat="false" ht="15" hidden="false" customHeight="false" outlineLevel="0" collapsed="false">
      <c r="A61" s="20"/>
      <c r="B61" s="20"/>
      <c r="C61" s="20"/>
      <c r="D61" s="30" t="str">
        <f aca="false">IF(B61="","",INDEX(Lab_Design!$B$21:$B$32,MATCH(B61,Lab_Design!$A$21:$A$32,0)))</f>
        <v/>
      </c>
      <c r="E61" s="34"/>
      <c r="F61" s="35"/>
      <c r="G61" s="35"/>
      <c r="H61" s="36"/>
      <c r="I61" s="36"/>
      <c r="J61" s="37" t="str">
        <f aca="false">IF(OR(I61="",D61="",D61=0),"",I61/D61)</f>
        <v/>
      </c>
      <c r="K61" s="20"/>
    </row>
    <row r="62" customFormat="false" ht="15" hidden="false" customHeight="false" outlineLevel="0" collapsed="false">
      <c r="A62" s="20"/>
      <c r="B62" s="20"/>
      <c r="C62" s="20"/>
      <c r="D62" s="30" t="str">
        <f aca="false">IF(B62="","",INDEX(Lab_Design!$B$21:$B$32,MATCH(B62,Lab_Design!$A$21:$A$32,0)))</f>
        <v/>
      </c>
      <c r="E62" s="34"/>
      <c r="F62" s="35"/>
      <c r="G62" s="35"/>
      <c r="H62" s="36"/>
      <c r="I62" s="36"/>
      <c r="J62" s="37" t="str">
        <f aca="false">IF(OR(I62="",D62="",D62=0),"",I62/D62)</f>
        <v/>
      </c>
      <c r="K62" s="20"/>
    </row>
    <row r="63" customFormat="false" ht="15" hidden="false" customHeight="false" outlineLevel="0" collapsed="false">
      <c r="A63" s="20"/>
      <c r="B63" s="20"/>
      <c r="C63" s="20"/>
      <c r="D63" s="30" t="str">
        <f aca="false">IF(B63="","",INDEX(Lab_Design!$B$21:$B$32,MATCH(B63,Lab_Design!$A$21:$A$32,0)))</f>
        <v/>
      </c>
      <c r="E63" s="34"/>
      <c r="F63" s="35"/>
      <c r="G63" s="35"/>
      <c r="H63" s="36"/>
      <c r="I63" s="36"/>
      <c r="J63" s="37" t="str">
        <f aca="false">IF(OR(I63="",D63="",D63=0),"",I63/D63)</f>
        <v/>
      </c>
      <c r="K63" s="20"/>
    </row>
    <row r="64" customFormat="false" ht="15" hidden="false" customHeight="false" outlineLevel="0" collapsed="false">
      <c r="A64" s="20"/>
      <c r="B64" s="20"/>
      <c r="C64" s="20"/>
      <c r="D64" s="30" t="str">
        <f aca="false">IF(B64="","",INDEX(Lab_Design!$B$21:$B$32,MATCH(B64,Lab_Design!$A$21:$A$32,0)))</f>
        <v/>
      </c>
      <c r="E64" s="34"/>
      <c r="F64" s="35"/>
      <c r="G64" s="35"/>
      <c r="H64" s="36"/>
      <c r="I64" s="36"/>
      <c r="J64" s="37" t="str">
        <f aca="false">IF(OR(I64="",D64="",D64=0),"",I64/D64)</f>
        <v/>
      </c>
      <c r="K64" s="20"/>
    </row>
    <row r="65" customFormat="false" ht="15" hidden="false" customHeight="false" outlineLevel="0" collapsed="false">
      <c r="A65" s="20"/>
      <c r="B65" s="20"/>
      <c r="C65" s="20"/>
      <c r="D65" s="30" t="str">
        <f aca="false">IF(B65="","",INDEX(Lab_Design!$B$21:$B$32,MATCH(B65,Lab_Design!$A$21:$A$32,0)))</f>
        <v/>
      </c>
      <c r="E65" s="34"/>
      <c r="F65" s="35"/>
      <c r="G65" s="35"/>
      <c r="H65" s="36"/>
      <c r="I65" s="36"/>
      <c r="J65" s="37" t="str">
        <f aca="false">IF(OR(I65="",D65="",D65=0),"",I65/D65)</f>
        <v/>
      </c>
      <c r="K65" s="20"/>
    </row>
    <row r="66" customFormat="false" ht="15" hidden="false" customHeight="false" outlineLevel="0" collapsed="false">
      <c r="A66" s="20"/>
      <c r="B66" s="20"/>
      <c r="C66" s="20"/>
      <c r="D66" s="30" t="str">
        <f aca="false">IF(B66="","",INDEX(Lab_Design!$B$21:$B$32,MATCH(B66,Lab_Design!$A$21:$A$32,0)))</f>
        <v/>
      </c>
      <c r="E66" s="34"/>
      <c r="F66" s="35"/>
      <c r="G66" s="35"/>
      <c r="H66" s="36"/>
      <c r="I66" s="36"/>
      <c r="J66" s="37" t="str">
        <f aca="false">IF(OR(I66="",D66="",D66=0),"",I66/D66)</f>
        <v/>
      </c>
      <c r="K66" s="20"/>
    </row>
    <row r="67" customFormat="false" ht="15" hidden="false" customHeight="false" outlineLevel="0" collapsed="false">
      <c r="A67" s="20"/>
      <c r="B67" s="20"/>
      <c r="C67" s="20"/>
      <c r="D67" s="30" t="str">
        <f aca="false">IF(B67="","",INDEX(Lab_Design!$B$21:$B$32,MATCH(B67,Lab_Design!$A$21:$A$32,0)))</f>
        <v/>
      </c>
      <c r="E67" s="34"/>
      <c r="F67" s="35"/>
      <c r="G67" s="35"/>
      <c r="H67" s="36"/>
      <c r="I67" s="36"/>
      <c r="J67" s="37" t="str">
        <f aca="false">IF(OR(I67="",D67="",D67=0),"",I67/D67)</f>
        <v/>
      </c>
      <c r="K67" s="20"/>
    </row>
    <row r="68" customFormat="false" ht="15" hidden="false" customHeight="false" outlineLevel="0" collapsed="false">
      <c r="A68" s="20"/>
      <c r="B68" s="20"/>
      <c r="C68" s="20"/>
      <c r="D68" s="30" t="str">
        <f aca="false">IF(B68="","",INDEX(Lab_Design!$B$21:$B$32,MATCH(B68,Lab_Design!$A$21:$A$32,0)))</f>
        <v/>
      </c>
      <c r="E68" s="34"/>
      <c r="F68" s="35"/>
      <c r="G68" s="35"/>
      <c r="H68" s="36"/>
      <c r="I68" s="36"/>
      <c r="J68" s="37" t="str">
        <f aca="false">IF(OR(I68="",D68="",D68=0),"",I68/D68)</f>
        <v/>
      </c>
      <c r="K68" s="20"/>
    </row>
    <row r="69" customFormat="false" ht="15" hidden="false" customHeight="false" outlineLevel="0" collapsed="false">
      <c r="A69" s="20"/>
      <c r="B69" s="20"/>
      <c r="C69" s="20"/>
      <c r="D69" s="30" t="str">
        <f aca="false">IF(B69="","",INDEX(Lab_Design!$B$21:$B$32,MATCH(B69,Lab_Design!$A$21:$A$32,0)))</f>
        <v/>
      </c>
      <c r="E69" s="34"/>
      <c r="F69" s="35"/>
      <c r="G69" s="35"/>
      <c r="H69" s="36"/>
      <c r="I69" s="36"/>
      <c r="J69" s="37" t="str">
        <f aca="false">IF(OR(I69="",D69="",D69=0),"",I69/D69)</f>
        <v/>
      </c>
      <c r="K69" s="20"/>
    </row>
    <row r="70" customFormat="false" ht="15" hidden="false" customHeight="false" outlineLevel="0" collapsed="false">
      <c r="A70" s="20"/>
      <c r="B70" s="20"/>
      <c r="C70" s="20"/>
      <c r="D70" s="30" t="str">
        <f aca="false">IF(B70="","",INDEX(Lab_Design!$B$21:$B$32,MATCH(B70,Lab_Design!$A$21:$A$32,0)))</f>
        <v/>
      </c>
      <c r="E70" s="34"/>
      <c r="F70" s="35"/>
      <c r="G70" s="35"/>
      <c r="H70" s="36"/>
      <c r="I70" s="36"/>
      <c r="J70" s="37" t="str">
        <f aca="false">IF(OR(I70="",D70="",D70=0),"",I70/D70)</f>
        <v/>
      </c>
      <c r="K70" s="20"/>
    </row>
    <row r="71" customFormat="false" ht="15" hidden="false" customHeight="false" outlineLevel="0" collapsed="false">
      <c r="A71" s="20"/>
      <c r="B71" s="20"/>
      <c r="C71" s="20"/>
      <c r="D71" s="30" t="str">
        <f aca="false">IF(B71="","",INDEX(Lab_Design!$B$21:$B$32,MATCH(B71,Lab_Design!$A$21:$A$32,0)))</f>
        <v/>
      </c>
      <c r="E71" s="34"/>
      <c r="F71" s="35"/>
      <c r="G71" s="35"/>
      <c r="H71" s="36"/>
      <c r="I71" s="36"/>
      <c r="J71" s="37" t="str">
        <f aca="false">IF(OR(I71="",D71="",D71=0),"",I71/D71)</f>
        <v/>
      </c>
      <c r="K71" s="20"/>
    </row>
    <row r="72" customFormat="false" ht="15" hidden="false" customHeight="false" outlineLevel="0" collapsed="false">
      <c r="A72" s="20"/>
      <c r="B72" s="20"/>
      <c r="C72" s="20"/>
      <c r="D72" s="30" t="str">
        <f aca="false">IF(B72="","",INDEX(Lab_Design!$B$21:$B$32,MATCH(B72,Lab_Design!$A$21:$A$32,0)))</f>
        <v/>
      </c>
      <c r="E72" s="34"/>
      <c r="F72" s="35"/>
      <c r="G72" s="35"/>
      <c r="H72" s="36"/>
      <c r="I72" s="36"/>
      <c r="J72" s="37" t="str">
        <f aca="false">IF(OR(I72="",D72="",D72=0),"",I72/D72)</f>
        <v/>
      </c>
      <c r="K72" s="20"/>
    </row>
    <row r="73" customFormat="false" ht="15" hidden="false" customHeight="false" outlineLevel="0" collapsed="false">
      <c r="A73" s="20"/>
      <c r="B73" s="20"/>
      <c r="C73" s="20"/>
      <c r="D73" s="30" t="str">
        <f aca="false">IF(B73="","",INDEX(Lab_Design!$B$21:$B$32,MATCH(B73,Lab_Design!$A$21:$A$32,0)))</f>
        <v/>
      </c>
      <c r="E73" s="34"/>
      <c r="F73" s="35"/>
      <c r="G73" s="35"/>
      <c r="H73" s="36"/>
      <c r="I73" s="36"/>
      <c r="J73" s="37" t="str">
        <f aca="false">IF(OR(I73="",D73="",D73=0),"",I73/D73)</f>
        <v/>
      </c>
      <c r="K73" s="20"/>
    </row>
    <row r="74" customFormat="false" ht="15" hidden="false" customHeight="false" outlineLevel="0" collapsed="false">
      <c r="A74" s="20"/>
      <c r="B74" s="20"/>
      <c r="C74" s="20"/>
      <c r="D74" s="30" t="str">
        <f aca="false">IF(B74="","",INDEX(Lab_Design!$B$21:$B$32,MATCH(B74,Lab_Design!$A$21:$A$32,0)))</f>
        <v/>
      </c>
      <c r="E74" s="34"/>
      <c r="F74" s="35"/>
      <c r="G74" s="35"/>
      <c r="H74" s="36"/>
      <c r="I74" s="36"/>
      <c r="J74" s="37" t="str">
        <f aca="false">IF(OR(I74="",D74="",D74=0),"",I74/D74)</f>
        <v/>
      </c>
      <c r="K74" s="20"/>
    </row>
    <row r="75" customFormat="false" ht="15" hidden="false" customHeight="false" outlineLevel="0" collapsed="false">
      <c r="A75" s="20"/>
      <c r="B75" s="20"/>
      <c r="C75" s="20"/>
      <c r="D75" s="30" t="str">
        <f aca="false">IF(B75="","",INDEX(Lab_Design!$B$21:$B$32,MATCH(B75,Lab_Design!$A$21:$A$32,0)))</f>
        <v/>
      </c>
      <c r="E75" s="34"/>
      <c r="F75" s="35"/>
      <c r="G75" s="35"/>
      <c r="H75" s="36"/>
      <c r="I75" s="36"/>
      <c r="J75" s="37" t="str">
        <f aca="false">IF(OR(I75="",D75="",D75=0),"",I75/D75)</f>
        <v/>
      </c>
      <c r="K75" s="20"/>
    </row>
    <row r="76" customFormat="false" ht="15" hidden="false" customHeight="false" outlineLevel="0" collapsed="false">
      <c r="A76" s="20"/>
      <c r="B76" s="20"/>
      <c r="C76" s="20"/>
      <c r="D76" s="30" t="str">
        <f aca="false">IF(B76="","",INDEX(Lab_Design!$B$21:$B$32,MATCH(B76,Lab_Design!$A$21:$A$32,0)))</f>
        <v/>
      </c>
      <c r="E76" s="34"/>
      <c r="F76" s="35"/>
      <c r="G76" s="35"/>
      <c r="H76" s="36"/>
      <c r="I76" s="36"/>
      <c r="J76" s="37" t="str">
        <f aca="false">IF(OR(I76="",D76="",D76=0),"",I76/D76)</f>
        <v/>
      </c>
      <c r="K76" s="20"/>
    </row>
    <row r="77" customFormat="false" ht="15" hidden="false" customHeight="false" outlineLevel="0" collapsed="false">
      <c r="A77" s="20"/>
      <c r="B77" s="20"/>
      <c r="C77" s="20"/>
      <c r="D77" s="30" t="str">
        <f aca="false">IF(B77="","",INDEX(Lab_Design!$B$21:$B$32,MATCH(B77,Lab_Design!$A$21:$A$32,0)))</f>
        <v/>
      </c>
      <c r="E77" s="34"/>
      <c r="F77" s="35"/>
      <c r="G77" s="35"/>
      <c r="H77" s="36"/>
      <c r="I77" s="36"/>
      <c r="J77" s="37" t="str">
        <f aca="false">IF(OR(I77="",D77="",D77=0),"",I77/D77)</f>
        <v/>
      </c>
      <c r="K77" s="20"/>
    </row>
    <row r="78" customFormat="false" ht="15" hidden="false" customHeight="false" outlineLevel="0" collapsed="false">
      <c r="A78" s="20"/>
      <c r="B78" s="20"/>
      <c r="C78" s="20"/>
      <c r="D78" s="30" t="str">
        <f aca="false">IF(B78="","",INDEX(Lab_Design!$B$21:$B$32,MATCH(B78,Lab_Design!$A$21:$A$32,0)))</f>
        <v/>
      </c>
      <c r="E78" s="34"/>
      <c r="F78" s="35"/>
      <c r="G78" s="35"/>
      <c r="H78" s="36"/>
      <c r="I78" s="36"/>
      <c r="J78" s="37" t="str">
        <f aca="false">IF(OR(I78="",D78="",D78=0),"",I78/D78)</f>
        <v/>
      </c>
      <c r="K78" s="20"/>
    </row>
    <row r="79" customFormat="false" ht="15" hidden="false" customHeight="false" outlineLevel="0" collapsed="false">
      <c r="A79" s="20"/>
      <c r="B79" s="20"/>
      <c r="C79" s="20"/>
      <c r="D79" s="30" t="str">
        <f aca="false">IF(B79="","",INDEX(Lab_Design!$B$21:$B$32,MATCH(B79,Lab_Design!$A$21:$A$32,0)))</f>
        <v/>
      </c>
      <c r="E79" s="34"/>
      <c r="F79" s="35"/>
      <c r="G79" s="35"/>
      <c r="H79" s="36"/>
      <c r="I79" s="36"/>
      <c r="J79" s="37" t="str">
        <f aca="false">IF(OR(I79="",D79="",D79=0),"",I79/D79)</f>
        <v/>
      </c>
      <c r="K79" s="20"/>
    </row>
    <row r="80" customFormat="false" ht="15" hidden="false" customHeight="false" outlineLevel="0" collapsed="false">
      <c r="A80" s="20"/>
      <c r="B80" s="20"/>
      <c r="C80" s="20"/>
      <c r="D80" s="30" t="str">
        <f aca="false">IF(B80="","",INDEX(Lab_Design!$B$21:$B$32,MATCH(B80,Lab_Design!$A$21:$A$32,0)))</f>
        <v/>
      </c>
      <c r="E80" s="34"/>
      <c r="F80" s="35"/>
      <c r="G80" s="35"/>
      <c r="H80" s="36"/>
      <c r="I80" s="36"/>
      <c r="J80" s="37" t="str">
        <f aca="false">IF(OR(I80="",D80="",D80=0),"",I80/D80)</f>
        <v/>
      </c>
      <c r="K80" s="20"/>
    </row>
  </sheetData>
  <dataValidations count="1">
    <dataValidation allowBlank="true" errorStyle="stop" operator="between" showDropDown="false" showErrorMessage="false" showInputMessage="false" sqref="B6:B80" type="list">
      <formula1>Lab_Design!$A$21:$A$32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2"/>
    <col collapsed="false" customWidth="true" hidden="false" outlineLevel="0" max="4" min="3" style="0" width="11"/>
    <col collapsed="false" customWidth="true" hidden="false" outlineLevel="0" max="7" min="5" style="0" width="10"/>
    <col collapsed="false" customWidth="true" hidden="false" outlineLevel="0" max="8" min="8" style="0" width="26"/>
    <col collapsed="false" customWidth="true" hidden="false" outlineLevel="0" max="9" min="9" style="0" width="28"/>
    <col collapsed="false" customWidth="true" hidden="false" outlineLevel="0" max="10" min="10" style="0" width="30"/>
    <col collapsed="false" customWidth="true" hidden="false" outlineLevel="0" max="12" min="11" style="0" width="40"/>
  </cols>
  <sheetData>
    <row r="1" customFormat="false" ht="16.15" hidden="false" customHeight="false" outlineLevel="0" collapsed="false">
      <c r="A1" s="18" t="s">
        <v>306</v>
      </c>
    </row>
    <row r="2" customFormat="false" ht="15" hidden="false" customHeight="false" outlineLevel="0" collapsed="false">
      <c r="A2" s="2" t="s">
        <v>307</v>
      </c>
    </row>
    <row r="4" customFormat="false" ht="23.85" hidden="false" customHeight="false" outlineLevel="0" collapsed="false">
      <c r="A4" s="9" t="s">
        <v>308</v>
      </c>
      <c r="B4" s="9" t="s">
        <v>309</v>
      </c>
      <c r="C4" s="9" t="s">
        <v>310</v>
      </c>
      <c r="D4" s="9" t="s">
        <v>311</v>
      </c>
      <c r="E4" s="9" t="s">
        <v>312</v>
      </c>
      <c r="F4" s="9" t="s">
        <v>313</v>
      </c>
      <c r="G4" s="9" t="s">
        <v>314</v>
      </c>
      <c r="H4" s="9" t="s">
        <v>315</v>
      </c>
      <c r="I4" s="9" t="s">
        <v>316</v>
      </c>
      <c r="J4" s="9" t="s">
        <v>317</v>
      </c>
      <c r="K4" s="9" t="s">
        <v>79</v>
      </c>
      <c r="L4" s="9" t="s">
        <v>80</v>
      </c>
    </row>
    <row r="5" customFormat="false" ht="23.85" hidden="false" customHeight="false" outlineLevel="0" collapsed="false">
      <c r="A5" s="10" t="s">
        <v>318</v>
      </c>
      <c r="B5" s="38" t="n">
        <v>246</v>
      </c>
      <c r="C5" s="38" t="n">
        <v>2</v>
      </c>
      <c r="D5" s="38" t="n">
        <v>24</v>
      </c>
      <c r="E5" s="38" t="n">
        <v>0.3275</v>
      </c>
      <c r="F5" s="38" t="n">
        <v>0.9836</v>
      </c>
      <c r="G5" s="12" t="n">
        <f aca="false">IF(F5="","",F5*1000)</f>
        <v>983.6</v>
      </c>
      <c r="H5" s="11" t="str">
        <f aca="false">IF(G5="","",IF(G5&lt;=Summary!$B$6,"Yes","No: LOQ is "&amp;ROUND(G5/Summary!$B$6,0)&amp;"× the PNEC"))</f>
        <v>No: LOQ is 98× the PNEC</v>
      </c>
      <c r="I5" s="11" t="str">
        <f aca="false">IF(G5="","",IF(G5&lt;=Measured_Levels!$G$5,"Yes","No: needs "&amp;ROUND(G5/Measured_Levels!$G$5,0)&amp;"× concentration"))</f>
        <v>No: needs 23419× concentration</v>
      </c>
      <c r="J5" s="20" t="s">
        <v>319</v>
      </c>
      <c r="K5" s="11" t="s">
        <v>320</v>
      </c>
      <c r="L5" s="21" t="s">
        <v>321</v>
      </c>
    </row>
    <row r="6" customFormat="false" ht="23.85" hidden="false" customHeight="false" outlineLevel="0" collapsed="false">
      <c r="A6" s="10" t="s">
        <v>322</v>
      </c>
      <c r="B6" s="38" t="n">
        <v>243</v>
      </c>
      <c r="C6" s="38" t="n">
        <v>0.01</v>
      </c>
      <c r="D6" s="38" t="n">
        <v>1</v>
      </c>
      <c r="E6" s="38" t="n">
        <v>0.003</v>
      </c>
      <c r="F6" s="38" t="n">
        <v>0.01</v>
      </c>
      <c r="G6" s="12" t="n">
        <f aca="false">IF(F6="","",F6*1000)</f>
        <v>10</v>
      </c>
      <c r="H6" s="11" t="str">
        <f aca="false">IF(G6="","",IF(G6&lt;=Summary!$B$6,"Yes","No: LOQ is "&amp;ROUND(G6/Summary!$B$6,0)&amp;"× the PNEC"))</f>
        <v>Yes</v>
      </c>
      <c r="I6" s="11" t="str">
        <f aca="false">IF(G6="","",IF(G6&lt;=Measured_Levels!$G$5,"Yes","No: needs "&amp;ROUND(G6/Measured_Levels!$G$5,0)&amp;"× concentration"))</f>
        <v>No: needs 238× concentration</v>
      </c>
      <c r="J6" s="20" t="s">
        <v>323</v>
      </c>
      <c r="K6" s="11" t="s">
        <v>324</v>
      </c>
      <c r="L6" s="21" t="s">
        <v>325</v>
      </c>
    </row>
    <row r="7" customFormat="false" ht="15" hidden="false" customHeight="false" outlineLevel="0" collapsed="false">
      <c r="A7" s="10" t="s">
        <v>326</v>
      </c>
      <c r="B7" s="38"/>
      <c r="C7" s="38"/>
      <c r="D7" s="38"/>
      <c r="E7" s="38"/>
      <c r="F7" s="38"/>
      <c r="G7" s="12" t="str">
        <f aca="false">IF(F7="","",F7*1000)</f>
        <v/>
      </c>
      <c r="H7" s="11" t="str">
        <f aca="false">IF(G7="","",IF(G7&lt;=Summary!$B$6,"Yes","No: LOQ is "&amp;ROUND(G7/Summary!$B$6,0)&amp;"× the PNEC"))</f>
        <v/>
      </c>
      <c r="I7" s="11" t="str">
        <f aca="false">IF(G7="","",IF(G7&lt;=Measured_Levels!$G$5,"Yes","No: needs "&amp;ROUND(G7/Measured_Levels!$G$5,0)&amp;"× concentration"))</f>
        <v/>
      </c>
      <c r="J7" s="20"/>
      <c r="K7" s="11" t="s">
        <v>327</v>
      </c>
      <c r="L7" s="11"/>
    </row>
    <row r="9" customFormat="false" ht="15" hidden="false" customHeight="false" outlineLevel="0" collapsed="false">
      <c r="A9" s="3" t="s">
        <v>328</v>
      </c>
    </row>
    <row r="10" customFormat="false" ht="15" hidden="false" customHeight="false" outlineLevel="0" collapsed="false">
      <c r="A10" s="16" t="s">
        <v>329</v>
      </c>
      <c r="B10" s="39" t="n">
        <v>500</v>
      </c>
    </row>
    <row r="11" customFormat="false" ht="15" hidden="false" customHeight="false" outlineLevel="0" collapsed="false">
      <c r="A11" s="16" t="s">
        <v>330</v>
      </c>
      <c r="B11" s="40" t="n">
        <f aca="false">G6/B10</f>
        <v>0.02</v>
      </c>
    </row>
    <row r="12" customFormat="false" ht="15" hidden="false" customHeight="false" outlineLevel="0" collapsed="false">
      <c r="A12" s="16" t="s">
        <v>331</v>
      </c>
      <c r="B12" s="33" t="str">
        <f aca="false">IF(B11&lt;=Measured_Levels!$G$5,"Yes","No")</f>
        <v>Yes</v>
      </c>
    </row>
    <row r="14" customFormat="false" ht="15" hidden="false" customHeight="false" outlineLevel="0" collapsed="false">
      <c r="A14" s="2" t="s">
        <v>332</v>
      </c>
    </row>
  </sheetData>
  <hyperlinks>
    <hyperlink ref="L5" r:id="rId1" display="https://www.orientjchem.org/?p=11983"/>
    <hyperlink ref="L6" r:id="rId2" display="https://vjs.ac.vn/jst/article/view/1641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0"/>
    <col collapsed="false" customWidth="true" hidden="false" outlineLevel="0" max="3" min="3" style="0" width="40"/>
    <col collapsed="false" customWidth="true" hidden="false" outlineLevel="0" max="4" min="4" style="0" width="60"/>
  </cols>
  <sheetData>
    <row r="1" customFormat="false" ht="16.15" hidden="false" customHeight="false" outlineLevel="0" collapsed="false">
      <c r="A1" s="18" t="s">
        <v>68</v>
      </c>
    </row>
    <row r="3" customFormat="false" ht="15" hidden="false" customHeight="false" outlineLevel="0" collapsed="false">
      <c r="A3" s="9" t="s">
        <v>72</v>
      </c>
      <c r="B3" s="9" t="s">
        <v>333</v>
      </c>
      <c r="C3" s="9" t="s">
        <v>334</v>
      </c>
      <c r="D3" s="9" t="s">
        <v>80</v>
      </c>
    </row>
    <row r="4" customFormat="false" ht="46.25" hidden="false" customHeight="false" outlineLevel="0" collapsed="false">
      <c r="A4" s="11" t="n">
        <v>1</v>
      </c>
      <c r="B4" s="11" t="s">
        <v>335</v>
      </c>
      <c r="C4" s="11" t="s">
        <v>336</v>
      </c>
      <c r="D4" s="21" t="s">
        <v>86</v>
      </c>
    </row>
    <row r="5" customFormat="false" ht="35.05" hidden="false" customHeight="false" outlineLevel="0" collapsed="false">
      <c r="A5" s="11" t="n">
        <v>2</v>
      </c>
      <c r="B5" s="11" t="s">
        <v>337</v>
      </c>
      <c r="C5" s="11" t="s">
        <v>338</v>
      </c>
      <c r="D5" s="21" t="s">
        <v>96</v>
      </c>
    </row>
    <row r="6" customFormat="false" ht="35.05" hidden="false" customHeight="false" outlineLevel="0" collapsed="false">
      <c r="A6" s="11" t="n">
        <v>3</v>
      </c>
      <c r="B6" s="11" t="s">
        <v>339</v>
      </c>
      <c r="C6" s="11" t="s">
        <v>340</v>
      </c>
      <c r="D6" s="21" t="s">
        <v>101</v>
      </c>
    </row>
    <row r="7" customFormat="false" ht="23.85" hidden="false" customHeight="false" outlineLevel="0" collapsed="false">
      <c r="A7" s="11" t="n">
        <v>4</v>
      </c>
      <c r="B7" s="11" t="s">
        <v>341</v>
      </c>
      <c r="C7" s="11" t="s">
        <v>342</v>
      </c>
      <c r="D7" s="21" t="s">
        <v>106</v>
      </c>
    </row>
    <row r="8" customFormat="false" ht="23.85" hidden="false" customHeight="false" outlineLevel="0" collapsed="false">
      <c r="A8" s="11" t="n">
        <v>5</v>
      </c>
      <c r="B8" s="11" t="s">
        <v>343</v>
      </c>
      <c r="C8" s="11" t="s">
        <v>344</v>
      </c>
      <c r="D8" s="21" t="s">
        <v>112</v>
      </c>
    </row>
    <row r="9" customFormat="false" ht="23.85" hidden="false" customHeight="false" outlineLevel="0" collapsed="false">
      <c r="A9" s="11" t="n">
        <v>6</v>
      </c>
      <c r="B9" s="11" t="s">
        <v>345</v>
      </c>
      <c r="C9" s="11" t="s">
        <v>346</v>
      </c>
      <c r="D9" s="21" t="s">
        <v>118</v>
      </c>
    </row>
    <row r="10" customFormat="false" ht="15" hidden="false" customHeight="false" outlineLevel="0" collapsed="false">
      <c r="A10" s="11" t="n">
        <v>7</v>
      </c>
      <c r="B10" s="11" t="s">
        <v>347</v>
      </c>
      <c r="C10" s="11" t="s">
        <v>348</v>
      </c>
      <c r="D10" s="21" t="s">
        <v>123</v>
      </c>
    </row>
    <row r="11" customFormat="false" ht="35.05" hidden="false" customHeight="false" outlineLevel="0" collapsed="false">
      <c r="A11" s="11" t="n">
        <v>8</v>
      </c>
      <c r="B11" s="11" t="s">
        <v>349</v>
      </c>
      <c r="C11" s="11" t="s">
        <v>350</v>
      </c>
      <c r="D11" s="21" t="s">
        <v>148</v>
      </c>
    </row>
    <row r="12" customFormat="false" ht="35.05" hidden="false" customHeight="false" outlineLevel="0" collapsed="false">
      <c r="A12" s="11" t="n">
        <v>9</v>
      </c>
      <c r="B12" s="11" t="s">
        <v>351</v>
      </c>
      <c r="C12" s="11" t="s">
        <v>352</v>
      </c>
      <c r="D12" s="21" t="s">
        <v>155</v>
      </c>
    </row>
    <row r="13" customFormat="false" ht="23.85" hidden="false" customHeight="false" outlineLevel="0" collapsed="false">
      <c r="A13" s="11" t="n">
        <v>10</v>
      </c>
      <c r="B13" s="11" t="s">
        <v>353</v>
      </c>
      <c r="C13" s="11" t="s">
        <v>354</v>
      </c>
      <c r="D13" s="21" t="s">
        <v>139</v>
      </c>
    </row>
    <row r="14" customFormat="false" ht="23.85" hidden="false" customHeight="false" outlineLevel="0" collapsed="false">
      <c r="A14" s="11" t="n">
        <v>11</v>
      </c>
      <c r="B14" s="11" t="s">
        <v>355</v>
      </c>
      <c r="C14" s="11" t="s">
        <v>356</v>
      </c>
      <c r="D14" s="21" t="s">
        <v>321</v>
      </c>
    </row>
    <row r="15" customFormat="false" ht="35.05" hidden="false" customHeight="false" outlineLevel="0" collapsed="false">
      <c r="A15" s="11" t="n">
        <v>12</v>
      </c>
      <c r="B15" s="11" t="s">
        <v>357</v>
      </c>
      <c r="C15" s="11" t="s">
        <v>358</v>
      </c>
      <c r="D15" s="21" t="s">
        <v>325</v>
      </c>
    </row>
    <row r="16" customFormat="false" ht="23.85" hidden="false" customHeight="false" outlineLevel="0" collapsed="false">
      <c r="A16" s="11" t="n">
        <v>13</v>
      </c>
      <c r="B16" s="11" t="s">
        <v>359</v>
      </c>
      <c r="C16" s="11" t="s">
        <v>360</v>
      </c>
      <c r="D16" s="21" t="s">
        <v>175</v>
      </c>
    </row>
  </sheetData>
  <hyperlinks>
    <hyperlink ref="D4" r:id="rId1" display="https://www.iris.unisa.it/handle/11386/4949119"/>
    <hyperlink ref="D5" r:id="rId2" display="https://enveurope.springeropen.com/articles/10.1186/s12302-024-01015-3/tables/4"/>
    <hyperlink ref="D6" r:id="rId3" display="https://link.springer.com/article/10.1007/s13201-022-01570-1"/>
    <hyperlink ref="D7" r:id="rId4" display="https://www.frontiersin.org/journals/marine-science/articles/10.3389/fmars.2022.1043792/pdf"/>
    <hyperlink ref="D8" r:id="rId5" display="https://www.koreascience.or.kr/article/JAKO200604623620474.page?lang=en"/>
    <hyperlink ref="D9" r:id="rId6" display="https://app.production.epa-vic-gov-au.sdp3.sdp.vic.gov.au/sites/default/files/epa/publications/appendix_a_emerging-contaminants-in-recycled-water_31may2023.pdf"/>
    <hyperlink ref="D10" r:id="rId7" display="https://www.health.mn.gov/communities/environment/risk/docs/guidance/dwec/sumacetamin.pdf"/>
    <hyperlink ref="D11" r:id="rId8" display="https://www.ingentaconnect.com/content/tandf/geac/2013/00000093/00000003/art00001"/>
    <hyperlink ref="D12" r:id="rId9" display="https://link.springer.com/article/10.1007/s11356-016-6389-7"/>
    <hyperlink ref="D13" r:id="rId10" display="https://www.waterqualitydata.us/"/>
    <hyperlink ref="D14" r:id="rId11" display="https://www.orientjchem.org/?p=11983"/>
    <hyperlink ref="D15" r:id="rId12" display="https://vjs.ac.vn/jst/article/view/16418"/>
    <hyperlink ref="D16" r:id="rId13" display="https://repoemc.ukm.my/items/03278d67-ba15-49e1-8dd8-265793d35e3f/ful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2026-10-07T16:50:57Z</dcterms:created>
  <dc:creator>openpyxl</dc:creator>
  <dc:description/>
  <dc:language>en-US</dc:language>
  <cp:lastModifiedBy/>
  <dcterms:modified xsi:type="dcterms:W3CDTF">2026-10-08T00:50:59Z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